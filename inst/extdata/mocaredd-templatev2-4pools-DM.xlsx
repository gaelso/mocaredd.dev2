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/>
  <mc:AlternateContent xmlns:mc="http://schemas.openxmlformats.org/markup-compatibility/2006">
    <mc:Choice Requires="x15">
      <x15ac:absPath xmlns:x15ac="http://schemas.microsoft.com/office/spreadsheetml/2010/11/ac" url="/Users/gaelsola/code/mocaredd.dev2/inst/extdata/"/>
    </mc:Choice>
  </mc:AlternateContent>
  <xr:revisionPtr revIDLastSave="0" documentId="13_ncr:1_{0D31E7B9-1081-B946-9A73-08A005524E88}" xr6:coauthVersionLast="47" xr6:coauthVersionMax="47" xr10:uidLastSave="{00000000-0000-0000-0000-000000000000}"/>
  <bookViews>
    <workbookView xWindow="1200" yWindow="660" windowWidth="28200" windowHeight="18460" activeTab="4" xr2:uid="{00000000-000D-0000-FFFF-FFFF00000000}"/>
  </bookViews>
  <sheets>
    <sheet name="README" sheetId="11" r:id="rId1"/>
    <sheet name="setup" sheetId="5" r:id="rId2"/>
    <sheet name="time" sheetId="4" r:id="rId3"/>
    <sheet name="area" sheetId="10" r:id="rId4"/>
    <sheet name="carbon" sheetId="9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9" l="1"/>
  <c r="N4" i="9"/>
  <c r="N5" i="9"/>
  <c r="N6" i="9"/>
  <c r="N7" i="9"/>
  <c r="N8" i="9"/>
  <c r="N9" i="9"/>
  <c r="N10" i="9"/>
  <c r="N11" i="9"/>
  <c r="N12" i="9"/>
  <c r="N13" i="9"/>
  <c r="N2" i="9"/>
  <c r="F3" i="9"/>
  <c r="G3" i="9" s="1"/>
  <c r="F4" i="9"/>
  <c r="G4" i="9" s="1"/>
  <c r="F5" i="9"/>
  <c r="F6" i="9"/>
  <c r="G6" i="9" s="1"/>
  <c r="F7" i="9"/>
  <c r="F8" i="9"/>
  <c r="F9" i="9"/>
  <c r="F10" i="9"/>
  <c r="G10" i="9" s="1"/>
  <c r="F11" i="9"/>
  <c r="G11" i="9" s="1"/>
  <c r="F12" i="9"/>
  <c r="G12" i="9" s="1"/>
  <c r="F13" i="9"/>
  <c r="F2" i="9"/>
  <c r="J33" i="9"/>
  <c r="J34" i="9"/>
  <c r="J35" i="9"/>
  <c r="J36" i="9"/>
  <c r="J37" i="9"/>
  <c r="J32" i="9"/>
  <c r="I33" i="9"/>
  <c r="I34" i="9"/>
  <c r="I35" i="9"/>
  <c r="I36" i="9"/>
  <c r="I37" i="9"/>
  <c r="I32" i="9"/>
  <c r="G9" i="9" l="1"/>
  <c r="G7" i="9"/>
  <c r="G8" i="9"/>
  <c r="G2" i="9"/>
  <c r="G13" i="9"/>
  <c r="G5" i="9"/>
</calcChain>
</file>

<file path=xl/sharedStrings.xml><?xml version="1.0" encoding="utf-8"?>
<sst xmlns="http://schemas.openxmlformats.org/spreadsheetml/2006/main" count="480" uniqueCount="86">
  <si>
    <t>trans_no</t>
  </si>
  <si>
    <t>trans_area</t>
  </si>
  <si>
    <t>trans_se</t>
  </si>
  <si>
    <t>trans_pdf</t>
  </si>
  <si>
    <t>trans_pdf_a</t>
  </si>
  <si>
    <t>trans_pdf_b</t>
  </si>
  <si>
    <t>trans_pdf_c</t>
  </si>
  <si>
    <t>DF</t>
  </si>
  <si>
    <t>Open Forest</t>
  </si>
  <si>
    <t>DG</t>
  </si>
  <si>
    <t>c_no</t>
  </si>
  <si>
    <t>c_unit</t>
  </si>
  <si>
    <t>c_value</t>
  </si>
  <si>
    <t>c_se</t>
  </si>
  <si>
    <t>c_pdf</t>
  </si>
  <si>
    <t>c_pdf_a</t>
  </si>
  <si>
    <t>c_pdf_b</t>
  </si>
  <si>
    <t>c_pdf_c</t>
  </si>
  <si>
    <t>AGB</t>
  </si>
  <si>
    <t>C</t>
  </si>
  <si>
    <t>BGB</t>
  </si>
  <si>
    <t>DW</t>
  </si>
  <si>
    <t>LI</t>
  </si>
  <si>
    <t>ALL</t>
  </si>
  <si>
    <t>period_no</t>
  </si>
  <si>
    <t>year_start</t>
  </si>
  <si>
    <t>year_end</t>
  </si>
  <si>
    <t>period_type</t>
  </si>
  <si>
    <t>T1</t>
  </si>
  <si>
    <t>T2</t>
  </si>
  <si>
    <t>T3</t>
  </si>
  <si>
    <t>T4</t>
  </si>
  <si>
    <t>trans_period</t>
  </si>
  <si>
    <t>trunc_pdf</t>
  </si>
  <si>
    <t>n_iter</t>
  </si>
  <si>
    <t>ran_seed</t>
  </si>
  <si>
    <t>DG_ratio</t>
  </si>
  <si>
    <t>ad_annual</t>
  </si>
  <si>
    <t>conf_level</t>
  </si>
  <si>
    <t>dg_pool</t>
  </si>
  <si>
    <t>AGB, BGB, DW</t>
  </si>
  <si>
    <t>REF</t>
  </si>
  <si>
    <t>MON1</t>
  </si>
  <si>
    <t>MON2</t>
  </si>
  <si>
    <t>c_period</t>
  </si>
  <si>
    <t>dg_ext</t>
  </si>
  <si>
    <t>c_element</t>
  </si>
  <si>
    <t>lu_initial</t>
  </si>
  <si>
    <t>lu_final</t>
  </si>
  <si>
    <t>redd_activity</t>
  </si>
  <si>
    <t>digits</t>
  </si>
  <si>
    <t>c_lu</t>
  </si>
  <si>
    <t>Non-Forest Post Open</t>
  </si>
  <si>
    <t>EV Moist Closed Forest</t>
  </si>
  <si>
    <t>Non-Forest Post EV Moist Closed</t>
  </si>
  <si>
    <t>EV Wet Closed Forest</t>
  </si>
  <si>
    <t>Non-Forest Post EV Wet Closed</t>
  </si>
  <si>
    <t>MD Moist Closed SE Forest</t>
  </si>
  <si>
    <t>Non-Forest Post MD Moist Closed SE</t>
  </si>
  <si>
    <t>MD Moist Closed NW Forest</t>
  </si>
  <si>
    <t>Non-Forest Post MD Moist Closed NW</t>
  </si>
  <si>
    <t>EV Upland Forest</t>
  </si>
  <si>
    <t>Non-Forest Post EV Upland</t>
  </si>
  <si>
    <t>Normal</t>
  </si>
  <si>
    <t>Open Forest Degraded</t>
  </si>
  <si>
    <t>EV Wet Closed Forest Degraded</t>
  </si>
  <si>
    <t>EV Moist Closed Forest Degraded</t>
  </si>
  <si>
    <t>MD Moist Closed SE Forest Degraded</t>
  </si>
  <si>
    <t>MD Moist Closed NW Forest Degraded</t>
  </si>
  <si>
    <t>EV Upland Forest Degraded</t>
  </si>
  <si>
    <t>" Degraded"</t>
  </si>
  <si>
    <t>Beta</t>
  </si>
  <si>
    <t>Mocaredd input workbook</t>
  </si>
  <si>
    <r>
      <t xml:space="preserve">Mocaredd is a web application generating Monte Carlo Simulations for REDD+ carbon accounting.
</t>
    </r>
    <r>
      <rPr>
        <sz val="9"/>
        <color rgb="FF000000"/>
        <rFont val="Arial (Body)"/>
      </rPr>
      <t xml:space="preserve">
Mocaredd reconstructs any carbon accounting calculation chain from the input data, then provides arithmetic means and simulations-based mean and uncertainty for REDD+ emissions and removals, and ultimately for emission reductions.</t>
    </r>
  </si>
  <si>
    <t>Requires at least this 4 tabs:</t>
  </si>
  <si>
    <t>setup: 
describes a few parameters to allow the tool to handle as many configurations as possible.
time: 
describes the different time periods used for building the reference and monitoring periods.
area: 
describes the areas of land use/land cover change that generate emissions and/or removals (i.a. Activity Data).
carbon: 
describes the carbon elements necessary to build Emission and Removal Factors associated with the land use changes.</t>
  </si>
  <si>
    <t>Core interactions</t>
  </si>
  <si>
    <r>
      <t xml:space="preserve">1. The time period IDs in </t>
    </r>
    <r>
      <rPr>
        <b/>
        <sz val="10"/>
        <color rgb="FF000000"/>
        <rFont val="Arial"/>
        <family val="2"/>
        <scheme val="minor"/>
      </rPr>
      <t>time/period_no</t>
    </r>
    <r>
      <rPr>
        <sz val="10"/>
        <color rgb="FF000000"/>
        <rFont val="Arial"/>
        <family val="2"/>
        <scheme val="minor"/>
      </rPr>
      <t xml:space="preserve">(*) must match </t>
    </r>
    <r>
      <rPr>
        <b/>
        <sz val="10"/>
        <color rgb="FF000000"/>
        <rFont val="Arial"/>
        <family val="2"/>
        <scheme val="minor"/>
      </rPr>
      <t>area/trans_period</t>
    </r>
    <r>
      <rPr>
        <sz val="10"/>
        <color rgb="FF000000"/>
        <rFont val="Arial"/>
        <family val="2"/>
        <scheme val="minor"/>
      </rPr>
      <t xml:space="preserve">(*) and </t>
    </r>
    <r>
      <rPr>
        <b/>
        <sz val="10"/>
        <color rgb="FF000000"/>
        <rFont val="Arial"/>
        <family val="2"/>
        <scheme val="minor"/>
      </rPr>
      <t>carbon/c_period</t>
    </r>
    <r>
      <rPr>
        <sz val="10"/>
        <color rgb="FF000000"/>
        <rFont val="Arial"/>
        <family val="2"/>
        <scheme val="minor"/>
      </rPr>
      <t xml:space="preserve">(*).
2. The land use names in </t>
    </r>
    <r>
      <rPr>
        <b/>
        <sz val="10"/>
        <color rgb="FF000000"/>
        <rFont val="Arial"/>
        <family val="2"/>
        <scheme val="minor"/>
      </rPr>
      <t>area/lu_initial</t>
    </r>
    <r>
      <rPr>
        <sz val="10"/>
        <color rgb="FF000000"/>
        <rFont val="Arial"/>
        <family val="2"/>
        <scheme val="minor"/>
      </rPr>
      <t xml:space="preserve">(*) and </t>
    </r>
    <r>
      <rPr>
        <b/>
        <sz val="10"/>
        <color rgb="FF000000"/>
        <rFont val="Arial"/>
        <family val="2"/>
        <scheme val="minor"/>
      </rPr>
      <t>area/lu_final</t>
    </r>
    <r>
      <rPr>
        <sz val="10"/>
        <color rgb="FF000000"/>
        <rFont val="Arial"/>
        <family val="2"/>
        <scheme val="minor"/>
      </rPr>
      <t>(*)</t>
    </r>
    <r>
      <rPr>
        <b/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scheme val="minor"/>
      </rPr>
      <t xml:space="preserve">must be the same as the land use names described in </t>
    </r>
    <r>
      <rPr>
        <b/>
        <sz val="10"/>
        <color rgb="FF000000"/>
        <rFont val="Arial"/>
        <family val="2"/>
        <scheme val="minor"/>
      </rPr>
      <t>carbon/c_lu</t>
    </r>
    <r>
      <rPr>
        <sz val="10"/>
        <color rgb="FF000000"/>
        <rFont val="Arial"/>
        <family val="2"/>
        <scheme val="minor"/>
      </rPr>
      <t xml:space="preserve">(*) to match activity data and emission factors
2. Carbon pools AGB and BGB (if not expressed as a root-to-shoot ratio) are either reported as tons of dry matter (DM) or of carbon (C). If dry matter, a carbon fraction must be added in </t>
    </r>
    <r>
      <rPr>
        <b/>
        <sz val="10"/>
        <color rgb="FF000000"/>
        <rFont val="Arial"/>
        <family val="2"/>
        <scheme val="minor"/>
      </rPr>
      <t>carbon</t>
    </r>
    <r>
      <rPr>
        <sz val="10"/>
        <color rgb="FF000000"/>
        <rFont val="Arial"/>
        <family val="2"/>
        <scheme val="minor"/>
      </rPr>
      <t xml:space="preserve"> with, if possible, a standard error so that random simulations with be generated for the carbon fraction (iPCC default: mean: 0.47, se: 0.0013).
3. Degraded land uses names must be the same as their intact equivalent with a consistent extension (for ex. "Evergreen Degraded" is the degraded land use of "Evergreen") and the extension should be noted in </t>
    </r>
    <r>
      <rPr>
        <b/>
        <sz val="10"/>
        <color rgb="FF000000"/>
        <rFont val="Arial"/>
        <family val="2"/>
        <scheme val="minor"/>
      </rPr>
      <t>setup/dg_ext</t>
    </r>
    <r>
      <rPr>
        <sz val="10"/>
        <color rgb="FF000000"/>
        <rFont val="Arial"/>
        <family val="2"/>
        <scheme val="minor"/>
      </rPr>
      <t>(*): "Degraded".
(*) In this paragraph xx/yy means TAB_NAME/COLUMN_NAME.</t>
    </r>
  </si>
  <si>
    <t>NA</t>
  </si>
  <si>
    <t>DM</t>
  </si>
  <si>
    <t>CF</t>
  </si>
  <si>
    <t>ratio</t>
  </si>
  <si>
    <t>normal</t>
  </si>
  <si>
    <t>VAL_TC</t>
  </si>
  <si>
    <t>SE_TC</t>
  </si>
  <si>
    <t>UPERC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</si>
</sst>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</font>
    <font>
      <sz val="10"/>
      <color rgb="FF000000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2"/>
      <color rgb="FF000000"/>
      <name val="Arial"/>
      <family val="2"/>
      <scheme val="minor"/>
    </font>
    <font>
      <b/>
      <sz val="12"/>
      <color theme="1"/>
      <name val="Arial"/>
      <family val="2"/>
    </font>
    <font>
      <b/>
      <sz val="12"/>
      <color rgb="FF000000"/>
      <name val="Arial (Body)"/>
    </font>
    <font>
      <sz val="12"/>
      <color rgb="FF000000"/>
      <name val="Arial (Body)"/>
    </font>
    <font>
      <sz val="9"/>
      <color rgb="FF000000"/>
      <name val="Arial (Body)"/>
    </font>
    <font>
      <sz val="10"/>
      <color theme="1"/>
      <name val="Arial"/>
      <family val="2"/>
    </font>
    <font>
      <sz val="11"/>
      <color theme="1"/>
      <name val="Arial"/>
      <family val="2"/>
      <scheme val="minor"/>
    </font>
    <font>
      <sz val="11"/>
      <color theme="1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D0E0E3"/>
        <bgColor rgb="FFD0E0E3"/>
      </patternFill>
    </fill>
    <fill>
      <patternFill patternType="solid">
        <fgColor theme="6" tint="0.79998168889431442"/>
        <bgColor rgb="FFD9EAD3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rgb="FFD9EAD3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FCE5CD"/>
      </patternFill>
    </fill>
    <fill>
      <patternFill patternType="solid">
        <fgColor theme="6" tint="0.79998168889431442"/>
        <bgColor rgb="FFFCE5CD"/>
      </patternFill>
    </fill>
    <fill>
      <patternFill patternType="solid">
        <fgColor theme="7" tint="0.59999389629810485"/>
        <bgColor rgb="FFFEF1CC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32">
    <xf numFmtId="0" fontId="0" fillId="0" borderId="0" xfId="0"/>
    <xf numFmtId="0" fontId="1" fillId="2" borderId="0" xfId="0" applyFont="1" applyFill="1"/>
    <xf numFmtId="4" fontId="1" fillId="2" borderId="0" xfId="0" applyNumberFormat="1" applyFont="1" applyFill="1"/>
    <xf numFmtId="0" fontId="2" fillId="2" borderId="0" xfId="0" applyFont="1" applyFill="1" applyAlignment="1">
      <alignment horizontal="left"/>
    </xf>
    <xf numFmtId="0" fontId="1" fillId="3" borderId="0" xfId="0" applyFont="1" applyFill="1"/>
    <xf numFmtId="0" fontId="1" fillId="4" borderId="0" xfId="0" applyFont="1" applyFill="1"/>
    <xf numFmtId="0" fontId="3" fillId="0" borderId="0" xfId="0" applyFont="1"/>
    <xf numFmtId="0" fontId="4" fillId="0" borderId="0" xfId="0" applyFont="1"/>
    <xf numFmtId="0" fontId="1" fillId="5" borderId="0" xfId="0" applyFont="1" applyFill="1"/>
    <xf numFmtId="0" fontId="0" fillId="6" borderId="0" xfId="0" applyFill="1"/>
    <xf numFmtId="0" fontId="2" fillId="5" borderId="0" xfId="0" applyFont="1" applyFill="1" applyAlignment="1">
      <alignment horizontal="left"/>
    </xf>
    <xf numFmtId="0" fontId="1" fillId="7" borderId="0" xfId="0" applyFont="1" applyFill="1"/>
    <xf numFmtId="0" fontId="0" fillId="8" borderId="0" xfId="0" applyFill="1"/>
    <xf numFmtId="0" fontId="2" fillId="7" borderId="0" xfId="0" applyFont="1" applyFill="1" applyAlignment="1">
      <alignment horizontal="left"/>
    </xf>
    <xf numFmtId="0" fontId="1" fillId="9" borderId="0" xfId="0" applyFont="1" applyFill="1"/>
    <xf numFmtId="4" fontId="1" fillId="9" borderId="0" xfId="0" applyNumberFormat="1" applyFont="1" applyFill="1"/>
    <xf numFmtId="0" fontId="1" fillId="10" borderId="0" xfId="0" applyFont="1" applyFill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1" applyFont="1" applyAlignment="1">
      <alignment horizontal="left" vertical="top" wrapText="1"/>
    </xf>
    <xf numFmtId="0" fontId="3" fillId="0" borderId="0" xfId="1"/>
    <xf numFmtId="0" fontId="9" fillId="0" borderId="0" xfId="1" applyFont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3" fillId="0" borderId="0" xfId="1" applyAlignment="1">
      <alignment horizontal="left" vertical="top" wrapText="1"/>
    </xf>
    <xf numFmtId="0" fontId="3" fillId="0" borderId="0" xfId="1" applyAlignment="1">
      <alignment horizontal="left" vertical="top"/>
    </xf>
    <xf numFmtId="0" fontId="5" fillId="0" borderId="0" xfId="1" applyFont="1" applyAlignment="1">
      <alignment wrapText="1"/>
    </xf>
    <xf numFmtId="0" fontId="3" fillId="0" borderId="0" xfId="1" applyAlignment="1">
      <alignment wrapText="1"/>
    </xf>
    <xf numFmtId="0" fontId="11" fillId="11" borderId="0" xfId="0" applyFont="1" applyFill="1"/>
    <xf numFmtId="0" fontId="12" fillId="12" borderId="0" xfId="0" applyFont="1" applyFill="1"/>
    <xf numFmtId="0" fontId="0" fillId="12" borderId="0" xfId="0" applyFill="1"/>
    <xf numFmtId="164" fontId="13" fillId="12" borderId="0" xfId="0" applyNumberFormat="1" applyFont="1" applyFill="1" applyAlignment="1">
      <alignment horizontal="right"/>
    </xf>
  </cellXfs>
  <cellStyles count="2">
    <cellStyle name="Normal" xfId="0" builtinId="0"/>
    <cellStyle name="Normal 2" xfId="1" xr:uid="{3114D6D5-91A3-7145-9327-C8941782A0A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F9BDE-9068-3745-80E7-3AA8A343627A}">
  <dimension ref="A1:A14"/>
  <sheetViews>
    <sheetView workbookViewId="0">
      <selection activeCell="A8" sqref="A8"/>
    </sheetView>
  </sheetViews>
  <sheetFormatPr baseColWidth="10" defaultRowHeight="13" x14ac:dyDescent="0.15"/>
  <cols>
    <col min="1" max="1" width="90.6640625" style="27" customWidth="1"/>
    <col min="2" max="16384" width="10.83203125" style="21"/>
  </cols>
  <sheetData>
    <row r="1" spans="1:1" ht="17" x14ac:dyDescent="0.15">
      <c r="A1" s="20" t="s">
        <v>72</v>
      </c>
    </row>
    <row r="2" spans="1:1" ht="16" x14ac:dyDescent="0.15">
      <c r="A2" s="22"/>
    </row>
    <row r="3" spans="1:1" ht="73" x14ac:dyDescent="0.15">
      <c r="A3" s="22" t="s">
        <v>73</v>
      </c>
    </row>
    <row r="4" spans="1:1" ht="16" x14ac:dyDescent="0.15">
      <c r="A4" s="22"/>
    </row>
    <row r="5" spans="1:1" ht="14" x14ac:dyDescent="0.15">
      <c r="A5" s="23" t="s">
        <v>74</v>
      </c>
    </row>
    <row r="6" spans="1:1" ht="168" x14ac:dyDescent="0.15">
      <c r="A6" s="24" t="s">
        <v>75</v>
      </c>
    </row>
    <row r="7" spans="1:1" x14ac:dyDescent="0.15">
      <c r="A7" s="25"/>
    </row>
    <row r="8" spans="1:1" ht="14" x14ac:dyDescent="0.15">
      <c r="A8" s="23" t="s">
        <v>76</v>
      </c>
    </row>
    <row r="9" spans="1:1" ht="210" x14ac:dyDescent="0.15">
      <c r="A9" s="24" t="s">
        <v>77</v>
      </c>
    </row>
    <row r="10" spans="1:1" x14ac:dyDescent="0.15">
      <c r="A10" s="24"/>
    </row>
    <row r="11" spans="1:1" x14ac:dyDescent="0.15">
      <c r="A11" s="23"/>
    </row>
    <row r="12" spans="1:1" x14ac:dyDescent="0.15">
      <c r="A12" s="24"/>
    </row>
    <row r="13" spans="1:1" x14ac:dyDescent="0.15">
      <c r="A13" s="24"/>
    </row>
    <row r="14" spans="1:1" x14ac:dyDescent="0.15">
      <c r="A14" s="2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6B7CA-5E2C-284E-A17C-8E0897ACEFB0}">
  <dimension ref="A1:I2"/>
  <sheetViews>
    <sheetView zoomScale="186" workbookViewId="0">
      <selection activeCell="C6" sqref="C6"/>
    </sheetView>
  </sheetViews>
  <sheetFormatPr baseColWidth="10" defaultColWidth="11.5" defaultRowHeight="13" x14ac:dyDescent="0.15"/>
  <cols>
    <col min="1" max="2" width="6.1640625" bestFit="1" customWidth="1"/>
    <col min="3" max="3" width="11.6640625" bestFit="1" customWidth="1"/>
    <col min="4" max="4" width="13.1640625" bestFit="1" customWidth="1"/>
    <col min="5" max="6" width="9.6640625" bestFit="1" customWidth="1"/>
    <col min="7" max="7" width="8.5" customWidth="1"/>
  </cols>
  <sheetData>
    <row r="1" spans="1:9" x14ac:dyDescent="0.15">
      <c r="A1" s="17" t="s">
        <v>34</v>
      </c>
      <c r="B1" s="17" t="s">
        <v>11</v>
      </c>
      <c r="C1" s="17" t="s">
        <v>45</v>
      </c>
      <c r="D1" s="17" t="s">
        <v>39</v>
      </c>
      <c r="E1" s="17" t="s">
        <v>37</v>
      </c>
      <c r="F1" s="17" t="s">
        <v>38</v>
      </c>
      <c r="G1" s="17" t="s">
        <v>50</v>
      </c>
      <c r="H1" s="17" t="s">
        <v>35</v>
      </c>
      <c r="I1" s="17" t="s">
        <v>33</v>
      </c>
    </row>
    <row r="2" spans="1:9" x14ac:dyDescent="0.15">
      <c r="A2">
        <v>10000</v>
      </c>
      <c r="B2" s="6" t="s">
        <v>19</v>
      </c>
      <c r="C2" s="6" t="s">
        <v>70</v>
      </c>
      <c r="D2" s="6" t="s">
        <v>40</v>
      </c>
      <c r="E2" t="b">
        <v>1</v>
      </c>
      <c r="F2">
        <v>0.9</v>
      </c>
      <c r="G2">
        <v>3</v>
      </c>
      <c r="H2">
        <v>93</v>
      </c>
      <c r="I2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899DA-46D5-A143-AFBA-1E1D48143306}">
  <dimension ref="A1:D5"/>
  <sheetViews>
    <sheetView zoomScale="152" zoomScaleNormal="152" workbookViewId="0">
      <selection activeCell="D7" sqref="D7"/>
    </sheetView>
  </sheetViews>
  <sheetFormatPr baseColWidth="10" defaultColWidth="11.5" defaultRowHeight="13" x14ac:dyDescent="0.15"/>
  <cols>
    <col min="4" max="4" width="17.33203125" bestFit="1" customWidth="1"/>
  </cols>
  <sheetData>
    <row r="1" spans="1:4" s="17" customFormat="1" x14ac:dyDescent="0.15">
      <c r="A1" s="17" t="s">
        <v>24</v>
      </c>
      <c r="B1" s="17" t="s">
        <v>25</v>
      </c>
      <c r="C1" s="17" t="s">
        <v>26</v>
      </c>
      <c r="D1" s="17" t="s">
        <v>27</v>
      </c>
    </row>
    <row r="2" spans="1:4" x14ac:dyDescent="0.15">
      <c r="A2" s="6" t="s">
        <v>28</v>
      </c>
      <c r="B2" s="6">
        <v>2005</v>
      </c>
      <c r="C2" s="6">
        <v>2014</v>
      </c>
      <c r="D2" s="6" t="s">
        <v>41</v>
      </c>
    </row>
    <row r="3" spans="1:4" x14ac:dyDescent="0.15">
      <c r="A3" s="6" t="s">
        <v>29</v>
      </c>
      <c r="B3" s="6">
        <v>2019</v>
      </c>
      <c r="C3" s="6">
        <v>2019</v>
      </c>
      <c r="D3" s="6" t="s">
        <v>42</v>
      </c>
    </row>
    <row r="4" spans="1:4" x14ac:dyDescent="0.15">
      <c r="A4" s="6" t="s">
        <v>30</v>
      </c>
      <c r="B4" s="6">
        <v>2020</v>
      </c>
      <c r="C4" s="6">
        <v>2020</v>
      </c>
      <c r="D4" s="6" t="s">
        <v>78</v>
      </c>
    </row>
    <row r="5" spans="1:4" x14ac:dyDescent="0.15">
      <c r="A5" s="6" t="s">
        <v>31</v>
      </c>
      <c r="B5" s="6">
        <v>2021</v>
      </c>
      <c r="C5" s="6">
        <v>2021</v>
      </c>
      <c r="D5" s="6" t="s">
        <v>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D584A-3C50-2A48-B2AD-AFCD6F08F4C8}">
  <sheetPr>
    <outlinePr summaryBelow="0" summaryRight="0"/>
  </sheetPr>
  <dimension ref="A1:K49"/>
  <sheetViews>
    <sheetView zoomScale="127" workbookViewId="0">
      <selection activeCell="D38" sqref="D38"/>
    </sheetView>
  </sheetViews>
  <sheetFormatPr baseColWidth="10" defaultColWidth="12.6640625" defaultRowHeight="15.75" customHeight="1" x14ac:dyDescent="0.15"/>
  <cols>
    <col min="1" max="1" width="9.6640625" bestFit="1" customWidth="1"/>
    <col min="2" max="2" width="13.33203125" bestFit="1" customWidth="1"/>
    <col min="3" max="3" width="22.6640625" bestFit="1" customWidth="1"/>
    <col min="4" max="4" width="30.5" bestFit="1" customWidth="1"/>
    <col min="5" max="5" width="11.6640625" bestFit="1" customWidth="1"/>
    <col min="6" max="6" width="9.6640625" bestFit="1" customWidth="1"/>
    <col min="7" max="7" width="10.33203125" bestFit="1" customWidth="1"/>
    <col min="11" max="11" width="13.6640625" bestFit="1" customWidth="1"/>
  </cols>
  <sheetData>
    <row r="1" spans="1:11" s="18" customFormat="1" ht="16" x14ac:dyDescent="0.2">
      <c r="A1" s="7" t="s">
        <v>0</v>
      </c>
      <c r="B1" s="7" t="s">
        <v>32</v>
      </c>
      <c r="C1" s="7" t="s">
        <v>47</v>
      </c>
      <c r="D1" s="7" t="s">
        <v>48</v>
      </c>
      <c r="E1" s="7" t="s">
        <v>1</v>
      </c>
      <c r="F1" s="7" t="s">
        <v>2</v>
      </c>
      <c r="G1" s="7" t="s">
        <v>3</v>
      </c>
      <c r="H1" s="7" t="s">
        <v>4</v>
      </c>
      <c r="I1" s="7" t="s">
        <v>5</v>
      </c>
      <c r="J1" s="7" t="s">
        <v>6</v>
      </c>
      <c r="K1" s="7" t="s">
        <v>49</v>
      </c>
    </row>
    <row r="2" spans="1:11" ht="15.75" customHeight="1" x14ac:dyDescent="0.15">
      <c r="A2" s="1">
        <v>1</v>
      </c>
      <c r="B2" s="1" t="s">
        <v>28</v>
      </c>
      <c r="C2" s="1" t="s">
        <v>8</v>
      </c>
      <c r="D2" s="1" t="s">
        <v>52</v>
      </c>
      <c r="E2" s="2">
        <v>4994</v>
      </c>
      <c r="F2" s="1">
        <v>627.62</v>
      </c>
      <c r="G2" s="1" t="s">
        <v>63</v>
      </c>
      <c r="H2" s="1"/>
      <c r="I2" s="1"/>
      <c r="J2" s="1"/>
      <c r="K2" s="1" t="s">
        <v>7</v>
      </c>
    </row>
    <row r="3" spans="1:11" ht="15.75" customHeight="1" x14ac:dyDescent="0.15">
      <c r="A3" s="1">
        <v>2</v>
      </c>
      <c r="B3" s="1" t="s">
        <v>28</v>
      </c>
      <c r="C3" s="3" t="s">
        <v>55</v>
      </c>
      <c r="D3" s="1" t="s">
        <v>56</v>
      </c>
      <c r="E3" s="1">
        <v>319</v>
      </c>
      <c r="F3" s="1">
        <v>168.82</v>
      </c>
      <c r="G3" s="1" t="s">
        <v>63</v>
      </c>
      <c r="H3" s="1"/>
      <c r="I3" s="1"/>
      <c r="J3" s="1"/>
      <c r="K3" s="1" t="s">
        <v>7</v>
      </c>
    </row>
    <row r="4" spans="1:11" ht="15.75" customHeight="1" x14ac:dyDescent="0.15">
      <c r="A4" s="1">
        <v>3</v>
      </c>
      <c r="B4" s="1" t="s">
        <v>28</v>
      </c>
      <c r="C4" s="3" t="s">
        <v>53</v>
      </c>
      <c r="D4" s="1" t="s">
        <v>54</v>
      </c>
      <c r="E4" s="2">
        <v>1814</v>
      </c>
      <c r="F4" s="1">
        <v>422.8</v>
      </c>
      <c r="G4" s="1" t="s">
        <v>63</v>
      </c>
      <c r="H4" s="1"/>
      <c r="I4" s="1"/>
      <c r="J4" s="1"/>
      <c r="K4" s="1" t="s">
        <v>7</v>
      </c>
    </row>
    <row r="5" spans="1:11" ht="15.75" customHeight="1" x14ac:dyDescent="0.15">
      <c r="A5" s="1">
        <v>4</v>
      </c>
      <c r="B5" s="1" t="s">
        <v>28</v>
      </c>
      <c r="C5" s="3" t="s">
        <v>57</v>
      </c>
      <c r="D5" s="1" t="s">
        <v>58</v>
      </c>
      <c r="E5" s="2">
        <v>1131</v>
      </c>
      <c r="F5" s="1">
        <v>302</v>
      </c>
      <c r="G5" s="1" t="s">
        <v>63</v>
      </c>
      <c r="H5" s="1"/>
      <c r="I5" s="1"/>
      <c r="J5" s="1"/>
      <c r="K5" s="1" t="s">
        <v>7</v>
      </c>
    </row>
    <row r="6" spans="1:11" ht="15.75" customHeight="1" x14ac:dyDescent="0.15">
      <c r="A6" s="1">
        <v>5</v>
      </c>
      <c r="B6" s="1" t="s">
        <v>28</v>
      </c>
      <c r="C6" s="3" t="s">
        <v>59</v>
      </c>
      <c r="D6" s="1" t="s">
        <v>60</v>
      </c>
      <c r="E6" s="2">
        <v>1230</v>
      </c>
      <c r="F6" s="1">
        <v>279.14</v>
      </c>
      <c r="G6" s="1" t="s">
        <v>63</v>
      </c>
      <c r="H6" s="1"/>
      <c r="I6" s="1"/>
      <c r="J6" s="1"/>
      <c r="K6" s="1" t="s">
        <v>7</v>
      </c>
    </row>
    <row r="7" spans="1:11" ht="15.75" customHeight="1" x14ac:dyDescent="0.15">
      <c r="A7" s="1">
        <v>6</v>
      </c>
      <c r="B7" s="1" t="s">
        <v>28</v>
      </c>
      <c r="C7" s="1" t="s">
        <v>61</v>
      </c>
      <c r="D7" s="1" t="s">
        <v>62</v>
      </c>
      <c r="E7" s="1">
        <v>168</v>
      </c>
      <c r="F7" s="1">
        <v>52.42</v>
      </c>
      <c r="G7" s="1" t="s">
        <v>63</v>
      </c>
      <c r="H7" s="1"/>
      <c r="I7" s="1"/>
      <c r="J7" s="1"/>
      <c r="K7" s="1" t="s">
        <v>7</v>
      </c>
    </row>
    <row r="8" spans="1:11" ht="15.75" customHeight="1" x14ac:dyDescent="0.15">
      <c r="A8" s="8">
        <v>7</v>
      </c>
      <c r="B8" s="8" t="s">
        <v>29</v>
      </c>
      <c r="C8" s="8" t="s">
        <v>8</v>
      </c>
      <c r="D8" s="8" t="s">
        <v>52</v>
      </c>
      <c r="E8" s="9">
        <v>2020</v>
      </c>
      <c r="F8" s="9">
        <v>1165.9000000000001</v>
      </c>
      <c r="G8" s="8" t="s">
        <v>63</v>
      </c>
      <c r="H8" s="8"/>
      <c r="I8" s="9"/>
      <c r="J8" s="9"/>
      <c r="K8" s="8" t="s">
        <v>7</v>
      </c>
    </row>
    <row r="9" spans="1:11" ht="15.75" customHeight="1" x14ac:dyDescent="0.15">
      <c r="A9" s="8">
        <v>8</v>
      </c>
      <c r="B9" s="8" t="s">
        <v>29</v>
      </c>
      <c r="C9" s="10" t="s">
        <v>55</v>
      </c>
      <c r="D9" s="8" t="s">
        <v>56</v>
      </c>
      <c r="E9" s="9">
        <v>0</v>
      </c>
      <c r="F9" s="9">
        <v>0</v>
      </c>
      <c r="G9" s="8" t="s">
        <v>63</v>
      </c>
      <c r="H9" s="8"/>
      <c r="I9" s="9"/>
      <c r="J9" s="9"/>
      <c r="K9" s="8" t="s">
        <v>7</v>
      </c>
    </row>
    <row r="10" spans="1:11" ht="15.75" customHeight="1" x14ac:dyDescent="0.15">
      <c r="A10" s="8">
        <v>9</v>
      </c>
      <c r="B10" s="8" t="s">
        <v>29</v>
      </c>
      <c r="C10" s="10" t="s">
        <v>53</v>
      </c>
      <c r="D10" s="8" t="s">
        <v>54</v>
      </c>
      <c r="E10" s="9">
        <v>0</v>
      </c>
      <c r="F10" s="9">
        <v>0</v>
      </c>
      <c r="G10" s="8" t="s">
        <v>63</v>
      </c>
      <c r="H10" s="8"/>
      <c r="I10" s="9"/>
      <c r="J10" s="9"/>
      <c r="K10" s="8" t="s">
        <v>7</v>
      </c>
    </row>
    <row r="11" spans="1:11" ht="15.75" customHeight="1" x14ac:dyDescent="0.15">
      <c r="A11" s="8">
        <v>10</v>
      </c>
      <c r="B11" s="8" t="s">
        <v>29</v>
      </c>
      <c r="C11" s="8" t="s">
        <v>57</v>
      </c>
      <c r="D11" s="8" t="s">
        <v>58</v>
      </c>
      <c r="E11" s="9">
        <v>0</v>
      </c>
      <c r="F11" s="9">
        <v>0</v>
      </c>
      <c r="G11" s="8" t="s">
        <v>63</v>
      </c>
      <c r="H11" s="8"/>
      <c r="I11" s="9"/>
      <c r="J11" s="9"/>
      <c r="K11" s="8" t="s">
        <v>7</v>
      </c>
    </row>
    <row r="12" spans="1:11" ht="15.75" customHeight="1" x14ac:dyDescent="0.15">
      <c r="A12" s="8">
        <v>11</v>
      </c>
      <c r="B12" s="8" t="s">
        <v>29</v>
      </c>
      <c r="C12" s="8" t="s">
        <v>59</v>
      </c>
      <c r="D12" s="8" t="s">
        <v>60</v>
      </c>
      <c r="E12" s="9">
        <v>650</v>
      </c>
      <c r="F12" s="9">
        <v>650.04999999999995</v>
      </c>
      <c r="G12" s="8" t="s">
        <v>63</v>
      </c>
      <c r="H12" s="8"/>
      <c r="I12" s="9"/>
      <c r="J12" s="9"/>
      <c r="K12" s="8" t="s">
        <v>7</v>
      </c>
    </row>
    <row r="13" spans="1:11" ht="15.75" customHeight="1" x14ac:dyDescent="0.15">
      <c r="A13" s="8">
        <v>12</v>
      </c>
      <c r="B13" s="8" t="s">
        <v>29</v>
      </c>
      <c r="C13" s="8" t="s">
        <v>61</v>
      </c>
      <c r="D13" s="8" t="s">
        <v>62</v>
      </c>
      <c r="E13" s="9">
        <v>0</v>
      </c>
      <c r="F13" s="9">
        <v>0</v>
      </c>
      <c r="G13" s="8" t="s">
        <v>63</v>
      </c>
      <c r="H13" s="8"/>
      <c r="I13" s="9"/>
      <c r="J13" s="9"/>
      <c r="K13" s="8" t="s">
        <v>7</v>
      </c>
    </row>
    <row r="14" spans="1:11" ht="15.75" customHeight="1" x14ac:dyDescent="0.15">
      <c r="A14" s="11">
        <v>13</v>
      </c>
      <c r="B14" s="11" t="s">
        <v>30</v>
      </c>
      <c r="C14" s="11" t="s">
        <v>8</v>
      </c>
      <c r="D14" s="11" t="s">
        <v>52</v>
      </c>
      <c r="E14" s="12">
        <v>0</v>
      </c>
      <c r="F14" s="12">
        <v>0</v>
      </c>
      <c r="G14" s="11" t="s">
        <v>63</v>
      </c>
      <c r="H14" s="11"/>
      <c r="I14" s="12"/>
      <c r="J14" s="12"/>
      <c r="K14" s="11" t="s">
        <v>7</v>
      </c>
    </row>
    <row r="15" spans="1:11" ht="15.75" customHeight="1" x14ac:dyDescent="0.15">
      <c r="A15" s="11">
        <v>14</v>
      </c>
      <c r="B15" s="11" t="s">
        <v>30</v>
      </c>
      <c r="C15" s="13" t="s">
        <v>55</v>
      </c>
      <c r="D15" s="11" t="s">
        <v>56</v>
      </c>
      <c r="E15" s="12">
        <v>0</v>
      </c>
      <c r="F15" s="12">
        <v>0</v>
      </c>
      <c r="G15" s="11" t="s">
        <v>63</v>
      </c>
      <c r="H15" s="11"/>
      <c r="I15" s="12"/>
      <c r="J15" s="12"/>
      <c r="K15" s="11" t="s">
        <v>7</v>
      </c>
    </row>
    <row r="16" spans="1:11" ht="15.75" customHeight="1" x14ac:dyDescent="0.15">
      <c r="A16" s="11">
        <v>15</v>
      </c>
      <c r="B16" s="11" t="s">
        <v>30</v>
      </c>
      <c r="C16" s="13" t="s">
        <v>53</v>
      </c>
      <c r="D16" s="11" t="s">
        <v>54</v>
      </c>
      <c r="E16" s="12">
        <v>1334</v>
      </c>
      <c r="F16" s="12">
        <v>1208.8</v>
      </c>
      <c r="G16" s="11" t="s">
        <v>63</v>
      </c>
      <c r="H16" s="11"/>
      <c r="I16" s="12"/>
      <c r="J16" s="12"/>
      <c r="K16" s="11" t="s">
        <v>7</v>
      </c>
    </row>
    <row r="17" spans="1:11" ht="15.75" customHeight="1" x14ac:dyDescent="0.15">
      <c r="A17" s="11">
        <v>16</v>
      </c>
      <c r="B17" s="11" t="s">
        <v>30</v>
      </c>
      <c r="C17" s="11" t="s">
        <v>57</v>
      </c>
      <c r="D17" s="11" t="s">
        <v>58</v>
      </c>
      <c r="E17" s="12">
        <v>672</v>
      </c>
      <c r="F17" s="12">
        <v>673.46</v>
      </c>
      <c r="G17" s="11" t="s">
        <v>63</v>
      </c>
      <c r="H17" s="11"/>
      <c r="I17" s="12"/>
      <c r="J17" s="12"/>
      <c r="K17" s="11" t="s">
        <v>7</v>
      </c>
    </row>
    <row r="18" spans="1:11" ht="15.75" customHeight="1" x14ac:dyDescent="0.15">
      <c r="A18" s="11">
        <v>17</v>
      </c>
      <c r="B18" s="11" t="s">
        <v>30</v>
      </c>
      <c r="C18" s="11" t="s">
        <v>59</v>
      </c>
      <c r="D18" s="11" t="s">
        <v>60</v>
      </c>
      <c r="E18" s="12">
        <v>0</v>
      </c>
      <c r="F18" s="12">
        <v>0</v>
      </c>
      <c r="G18" s="11" t="s">
        <v>63</v>
      </c>
      <c r="H18" s="11"/>
      <c r="I18" s="12"/>
      <c r="J18" s="12"/>
      <c r="K18" s="11" t="s">
        <v>7</v>
      </c>
    </row>
    <row r="19" spans="1:11" ht="15.75" customHeight="1" x14ac:dyDescent="0.15">
      <c r="A19" s="11">
        <v>18</v>
      </c>
      <c r="B19" s="11" t="s">
        <v>30</v>
      </c>
      <c r="C19" s="11" t="s">
        <v>61</v>
      </c>
      <c r="D19" s="11" t="s">
        <v>62</v>
      </c>
      <c r="E19" s="12">
        <v>0</v>
      </c>
      <c r="F19" s="12">
        <v>0</v>
      </c>
      <c r="G19" s="11" t="s">
        <v>63</v>
      </c>
      <c r="H19" s="11"/>
      <c r="I19" s="12"/>
      <c r="J19" s="12"/>
      <c r="K19" s="11" t="s">
        <v>7</v>
      </c>
    </row>
    <row r="20" spans="1:11" ht="15.75" customHeight="1" x14ac:dyDescent="0.15">
      <c r="A20" s="8">
        <v>19</v>
      </c>
      <c r="B20" s="8" t="s">
        <v>31</v>
      </c>
      <c r="C20" s="8" t="s">
        <v>8</v>
      </c>
      <c r="D20" s="8" t="s">
        <v>52</v>
      </c>
      <c r="E20" s="9">
        <v>670</v>
      </c>
      <c r="F20" s="9">
        <v>669.54</v>
      </c>
      <c r="G20" s="8" t="s">
        <v>63</v>
      </c>
      <c r="H20" s="8"/>
      <c r="I20" s="9"/>
      <c r="J20" s="9"/>
      <c r="K20" s="8" t="s">
        <v>7</v>
      </c>
    </row>
    <row r="21" spans="1:11" ht="15.75" customHeight="1" x14ac:dyDescent="0.15">
      <c r="A21" s="8">
        <v>20</v>
      </c>
      <c r="B21" s="8" t="s">
        <v>31</v>
      </c>
      <c r="C21" s="10" t="s">
        <v>55</v>
      </c>
      <c r="D21" s="8" t="s">
        <v>56</v>
      </c>
      <c r="E21" s="9">
        <v>0</v>
      </c>
      <c r="F21" s="9">
        <v>0</v>
      </c>
      <c r="G21" s="8" t="s">
        <v>63</v>
      </c>
      <c r="H21" s="8"/>
      <c r="I21" s="9"/>
      <c r="J21" s="9"/>
      <c r="K21" s="8" t="s">
        <v>7</v>
      </c>
    </row>
    <row r="22" spans="1:11" ht="15.75" customHeight="1" x14ac:dyDescent="0.15">
      <c r="A22" s="8">
        <v>21</v>
      </c>
      <c r="B22" s="8" t="s">
        <v>31</v>
      </c>
      <c r="C22" s="10" t="s">
        <v>53</v>
      </c>
      <c r="D22" s="8" t="s">
        <v>54</v>
      </c>
      <c r="E22" s="9">
        <v>0</v>
      </c>
      <c r="F22" s="9">
        <v>0</v>
      </c>
      <c r="G22" s="8" t="s">
        <v>63</v>
      </c>
      <c r="H22" s="8"/>
      <c r="I22" s="9"/>
      <c r="J22" s="9"/>
      <c r="K22" s="8" t="s">
        <v>7</v>
      </c>
    </row>
    <row r="23" spans="1:11" ht="15.75" customHeight="1" x14ac:dyDescent="0.15">
      <c r="A23" s="8">
        <v>22</v>
      </c>
      <c r="B23" s="8" t="s">
        <v>31</v>
      </c>
      <c r="C23" s="8" t="s">
        <v>57</v>
      </c>
      <c r="D23" s="8" t="s">
        <v>58</v>
      </c>
      <c r="E23" s="9">
        <v>672</v>
      </c>
      <c r="F23" s="9">
        <v>673.46</v>
      </c>
      <c r="G23" s="8" t="s">
        <v>63</v>
      </c>
      <c r="H23" s="8"/>
      <c r="I23" s="9"/>
      <c r="J23" s="9"/>
      <c r="K23" s="8" t="s">
        <v>7</v>
      </c>
    </row>
    <row r="24" spans="1:11" ht="15.75" customHeight="1" x14ac:dyDescent="0.15">
      <c r="A24" s="8">
        <v>23</v>
      </c>
      <c r="B24" s="8" t="s">
        <v>31</v>
      </c>
      <c r="C24" s="8" t="s">
        <v>59</v>
      </c>
      <c r="D24" s="8" t="s">
        <v>60</v>
      </c>
      <c r="E24" s="9">
        <v>3248</v>
      </c>
      <c r="F24" s="9">
        <v>1315.97</v>
      </c>
      <c r="G24" s="8" t="s">
        <v>63</v>
      </c>
      <c r="H24" s="8"/>
      <c r="I24" s="9"/>
      <c r="J24" s="9"/>
      <c r="K24" s="8" t="s">
        <v>7</v>
      </c>
    </row>
    <row r="25" spans="1:11" ht="15.75" customHeight="1" x14ac:dyDescent="0.15">
      <c r="A25" s="8">
        <v>24</v>
      </c>
      <c r="B25" s="8" t="s">
        <v>31</v>
      </c>
      <c r="C25" s="8" t="s">
        <v>61</v>
      </c>
      <c r="D25" s="8" t="s">
        <v>62</v>
      </c>
      <c r="E25" s="9">
        <v>167</v>
      </c>
      <c r="F25" s="9">
        <v>151.33000000000001</v>
      </c>
      <c r="G25" s="8" t="s">
        <v>63</v>
      </c>
      <c r="H25" s="8"/>
      <c r="I25" s="9"/>
      <c r="J25" s="9"/>
      <c r="K25" s="8" t="s">
        <v>7</v>
      </c>
    </row>
    <row r="26" spans="1:11" ht="15.75" customHeight="1" x14ac:dyDescent="0.15">
      <c r="A26" s="11">
        <v>25</v>
      </c>
      <c r="B26" s="14" t="s">
        <v>28</v>
      </c>
      <c r="C26" s="14" t="s">
        <v>8</v>
      </c>
      <c r="D26" s="14" t="s">
        <v>64</v>
      </c>
      <c r="E26" s="14">
        <v>459</v>
      </c>
      <c r="F26" s="14">
        <v>196.56</v>
      </c>
      <c r="G26" s="14" t="s">
        <v>63</v>
      </c>
      <c r="H26" s="14"/>
      <c r="I26" s="14"/>
      <c r="J26" s="14"/>
      <c r="K26" s="14" t="s">
        <v>9</v>
      </c>
    </row>
    <row r="27" spans="1:11" ht="15.75" customHeight="1" x14ac:dyDescent="0.15">
      <c r="A27" s="11">
        <v>26</v>
      </c>
      <c r="B27" s="14" t="s">
        <v>28</v>
      </c>
      <c r="C27" s="14" t="s">
        <v>55</v>
      </c>
      <c r="D27" s="14" t="s">
        <v>65</v>
      </c>
      <c r="E27" s="14">
        <v>319</v>
      </c>
      <c r="F27" s="14">
        <v>152.74</v>
      </c>
      <c r="G27" s="14" t="s">
        <v>63</v>
      </c>
      <c r="H27" s="14"/>
      <c r="I27" s="14"/>
      <c r="J27" s="14"/>
      <c r="K27" s="14" t="s">
        <v>9</v>
      </c>
    </row>
    <row r="28" spans="1:11" ht="15.75" customHeight="1" x14ac:dyDescent="0.15">
      <c r="A28" s="11">
        <v>27</v>
      </c>
      <c r="B28" s="14" t="s">
        <v>28</v>
      </c>
      <c r="C28" s="14" t="s">
        <v>53</v>
      </c>
      <c r="D28" s="14" t="s">
        <v>66</v>
      </c>
      <c r="E28" s="15">
        <v>1210</v>
      </c>
      <c r="F28" s="14">
        <v>328.47</v>
      </c>
      <c r="G28" s="14" t="s">
        <v>63</v>
      </c>
      <c r="H28" s="14"/>
      <c r="I28" s="14"/>
      <c r="J28" s="14"/>
      <c r="K28" s="14" t="s">
        <v>9</v>
      </c>
    </row>
    <row r="29" spans="1:11" ht="15.75" customHeight="1" x14ac:dyDescent="0.15">
      <c r="A29" s="11">
        <v>28</v>
      </c>
      <c r="B29" s="14" t="s">
        <v>28</v>
      </c>
      <c r="C29" s="14" t="s">
        <v>57</v>
      </c>
      <c r="D29" s="14" t="s">
        <v>67</v>
      </c>
      <c r="E29" s="15">
        <v>1333</v>
      </c>
      <c r="F29" s="14">
        <v>323.37</v>
      </c>
      <c r="G29" s="14" t="s">
        <v>63</v>
      </c>
      <c r="H29" s="14"/>
      <c r="I29" s="14"/>
      <c r="J29" s="14"/>
      <c r="K29" s="14" t="s">
        <v>9</v>
      </c>
    </row>
    <row r="30" spans="1:11" ht="15.75" customHeight="1" x14ac:dyDescent="0.15">
      <c r="A30" s="11">
        <v>29</v>
      </c>
      <c r="B30" s="14" t="s">
        <v>28</v>
      </c>
      <c r="C30" s="14" t="s">
        <v>59</v>
      </c>
      <c r="D30" s="14" t="s">
        <v>68</v>
      </c>
      <c r="E30" s="15">
        <v>1358</v>
      </c>
      <c r="F30" s="14">
        <v>333.56</v>
      </c>
      <c r="G30" s="14" t="s">
        <v>63</v>
      </c>
      <c r="H30" s="14"/>
      <c r="I30" s="14"/>
      <c r="J30" s="14"/>
      <c r="K30" s="14" t="s">
        <v>9</v>
      </c>
    </row>
    <row r="31" spans="1:11" ht="15.75" customHeight="1" x14ac:dyDescent="0.15">
      <c r="A31" s="11">
        <v>30</v>
      </c>
      <c r="B31" s="14" t="s">
        <v>28</v>
      </c>
      <c r="C31" s="14" t="s">
        <v>61</v>
      </c>
      <c r="D31" s="14" t="s">
        <v>69</v>
      </c>
      <c r="E31" s="14">
        <v>84</v>
      </c>
      <c r="F31" s="14">
        <v>33.75</v>
      </c>
      <c r="G31" s="14" t="s">
        <v>63</v>
      </c>
      <c r="H31" s="14"/>
      <c r="I31" s="14"/>
      <c r="J31" s="14"/>
      <c r="K31" s="14" t="s">
        <v>9</v>
      </c>
    </row>
    <row r="32" spans="1:11" ht="15.75" customHeight="1" x14ac:dyDescent="0.15">
      <c r="A32" s="8">
        <v>31</v>
      </c>
      <c r="B32" s="16" t="s">
        <v>29</v>
      </c>
      <c r="C32" s="16" t="s">
        <v>8</v>
      </c>
      <c r="D32" s="16" t="s">
        <v>64</v>
      </c>
      <c r="E32" s="9">
        <v>0</v>
      </c>
      <c r="F32" s="9">
        <v>0</v>
      </c>
      <c r="G32" s="8" t="s">
        <v>63</v>
      </c>
      <c r="H32" s="8"/>
      <c r="I32" s="9"/>
      <c r="J32" s="9"/>
      <c r="K32" s="16" t="s">
        <v>9</v>
      </c>
    </row>
    <row r="33" spans="1:11" ht="15.75" customHeight="1" x14ac:dyDescent="0.15">
      <c r="A33" s="8">
        <v>32</v>
      </c>
      <c r="B33" s="16" t="s">
        <v>29</v>
      </c>
      <c r="C33" s="16" t="s">
        <v>55</v>
      </c>
      <c r="D33" s="16" t="s">
        <v>65</v>
      </c>
      <c r="E33" s="9">
        <v>638</v>
      </c>
      <c r="F33" s="9">
        <v>576.80999999999995</v>
      </c>
      <c r="G33" s="8" t="s">
        <v>63</v>
      </c>
      <c r="H33" s="8"/>
      <c r="I33" s="9"/>
      <c r="J33" s="9"/>
      <c r="K33" s="16" t="s">
        <v>9</v>
      </c>
    </row>
    <row r="34" spans="1:11" ht="15.75" customHeight="1" x14ac:dyDescent="0.15">
      <c r="A34" s="8">
        <v>33</v>
      </c>
      <c r="B34" s="16" t="s">
        <v>29</v>
      </c>
      <c r="C34" s="16" t="s">
        <v>53</v>
      </c>
      <c r="D34" s="16" t="s">
        <v>66</v>
      </c>
      <c r="E34" s="9">
        <v>1346</v>
      </c>
      <c r="F34" s="9">
        <v>951.32</v>
      </c>
      <c r="G34" s="8" t="s">
        <v>63</v>
      </c>
      <c r="H34" s="8"/>
      <c r="I34" s="9"/>
      <c r="J34" s="9"/>
      <c r="K34" s="16" t="s">
        <v>9</v>
      </c>
    </row>
    <row r="35" spans="1:11" ht="15.75" customHeight="1" x14ac:dyDescent="0.15">
      <c r="A35" s="8">
        <v>34</v>
      </c>
      <c r="B35" s="16" t="s">
        <v>29</v>
      </c>
      <c r="C35" s="16" t="s">
        <v>57</v>
      </c>
      <c r="D35" s="16" t="s">
        <v>67</v>
      </c>
      <c r="E35" s="9">
        <v>4647</v>
      </c>
      <c r="F35" s="9">
        <v>1974.79</v>
      </c>
      <c r="G35" s="8" t="s">
        <v>63</v>
      </c>
      <c r="H35" s="8"/>
      <c r="I35" s="9"/>
      <c r="J35" s="9"/>
      <c r="K35" s="16" t="s">
        <v>9</v>
      </c>
    </row>
    <row r="36" spans="1:11" ht="15.75" customHeight="1" x14ac:dyDescent="0.15">
      <c r="A36" s="8">
        <v>35</v>
      </c>
      <c r="B36" s="16" t="s">
        <v>29</v>
      </c>
      <c r="C36" s="16" t="s">
        <v>59</v>
      </c>
      <c r="D36" s="16" t="s">
        <v>68</v>
      </c>
      <c r="E36" s="9">
        <v>3250</v>
      </c>
      <c r="F36" s="9">
        <v>1451.69</v>
      </c>
      <c r="G36" s="8" t="s">
        <v>63</v>
      </c>
      <c r="H36" s="8"/>
      <c r="I36" s="9"/>
      <c r="J36" s="9"/>
      <c r="K36" s="16" t="s">
        <v>9</v>
      </c>
    </row>
    <row r="37" spans="1:11" ht="15.75" customHeight="1" x14ac:dyDescent="0.15">
      <c r="A37" s="8">
        <v>36</v>
      </c>
      <c r="B37" s="16" t="s">
        <v>29</v>
      </c>
      <c r="C37" s="16" t="s">
        <v>61</v>
      </c>
      <c r="D37" s="16" t="s">
        <v>69</v>
      </c>
      <c r="E37" s="9">
        <v>0</v>
      </c>
      <c r="F37" s="9">
        <v>0</v>
      </c>
      <c r="G37" s="8" t="s">
        <v>63</v>
      </c>
      <c r="H37" s="8"/>
      <c r="I37" s="9"/>
      <c r="J37" s="9"/>
      <c r="K37" s="16" t="s">
        <v>9</v>
      </c>
    </row>
    <row r="38" spans="1:11" ht="15.75" customHeight="1" x14ac:dyDescent="0.15">
      <c r="A38" s="11">
        <v>37</v>
      </c>
      <c r="B38" s="14" t="s">
        <v>30</v>
      </c>
      <c r="C38" s="14" t="s">
        <v>8</v>
      </c>
      <c r="D38" s="14" t="s">
        <v>64</v>
      </c>
      <c r="E38" s="12">
        <v>0</v>
      </c>
      <c r="F38" s="12">
        <v>0</v>
      </c>
      <c r="G38" s="14" t="s">
        <v>63</v>
      </c>
      <c r="H38" s="14"/>
      <c r="I38" s="12"/>
      <c r="J38" s="12"/>
      <c r="K38" s="14" t="s">
        <v>9</v>
      </c>
    </row>
    <row r="39" spans="1:11" ht="15.75" customHeight="1" x14ac:dyDescent="0.15">
      <c r="A39" s="11">
        <v>38</v>
      </c>
      <c r="B39" s="14" t="s">
        <v>30</v>
      </c>
      <c r="C39" s="14" t="s">
        <v>55</v>
      </c>
      <c r="D39" s="14" t="s">
        <v>65</v>
      </c>
      <c r="E39" s="12">
        <v>0</v>
      </c>
      <c r="F39" s="12">
        <v>0</v>
      </c>
      <c r="G39" s="14" t="s">
        <v>63</v>
      </c>
      <c r="H39" s="14"/>
      <c r="I39" s="12"/>
      <c r="J39" s="12"/>
      <c r="K39" s="14" t="s">
        <v>9</v>
      </c>
    </row>
    <row r="40" spans="1:11" ht="15.75" customHeight="1" x14ac:dyDescent="0.15">
      <c r="A40" s="11">
        <v>39</v>
      </c>
      <c r="B40" s="14" t="s">
        <v>30</v>
      </c>
      <c r="C40" s="14" t="s">
        <v>53</v>
      </c>
      <c r="D40" s="14" t="s">
        <v>66</v>
      </c>
      <c r="E40" s="12">
        <v>670</v>
      </c>
      <c r="F40" s="12">
        <v>669.54</v>
      </c>
      <c r="G40" s="14" t="s">
        <v>63</v>
      </c>
      <c r="H40" s="14"/>
      <c r="I40" s="12"/>
      <c r="J40" s="12"/>
      <c r="K40" s="14" t="s">
        <v>9</v>
      </c>
    </row>
    <row r="41" spans="1:11" ht="15.75" customHeight="1" x14ac:dyDescent="0.15">
      <c r="A41" s="11">
        <v>40</v>
      </c>
      <c r="B41" s="14" t="s">
        <v>30</v>
      </c>
      <c r="C41" s="14" t="s">
        <v>57</v>
      </c>
      <c r="D41" s="14" t="s">
        <v>67</v>
      </c>
      <c r="E41" s="12">
        <v>1344</v>
      </c>
      <c r="F41" s="12">
        <v>861.42</v>
      </c>
      <c r="G41" s="14" t="s">
        <v>63</v>
      </c>
      <c r="H41" s="14"/>
      <c r="I41" s="12"/>
      <c r="J41" s="12"/>
      <c r="K41" s="14" t="s">
        <v>9</v>
      </c>
    </row>
    <row r="42" spans="1:11" ht="15.75" customHeight="1" x14ac:dyDescent="0.15">
      <c r="A42" s="11">
        <v>41</v>
      </c>
      <c r="B42" s="14" t="s">
        <v>30</v>
      </c>
      <c r="C42" s="14" t="s">
        <v>59</v>
      </c>
      <c r="D42" s="14" t="s">
        <v>68</v>
      </c>
      <c r="E42" s="12">
        <v>650</v>
      </c>
      <c r="F42" s="12">
        <v>589.28</v>
      </c>
      <c r="G42" s="14" t="s">
        <v>63</v>
      </c>
      <c r="H42" s="14"/>
      <c r="I42" s="12"/>
      <c r="J42" s="12"/>
      <c r="K42" s="14" t="s">
        <v>9</v>
      </c>
    </row>
    <row r="43" spans="1:11" ht="15.75" customHeight="1" x14ac:dyDescent="0.15">
      <c r="A43" s="11">
        <v>42</v>
      </c>
      <c r="B43" s="14" t="s">
        <v>30</v>
      </c>
      <c r="C43" s="14" t="s">
        <v>61</v>
      </c>
      <c r="D43" s="14" t="s">
        <v>69</v>
      </c>
      <c r="E43" s="12">
        <v>0</v>
      </c>
      <c r="F43" s="12">
        <v>0</v>
      </c>
      <c r="G43" s="14" t="s">
        <v>63</v>
      </c>
      <c r="H43" s="14"/>
      <c r="I43" s="12"/>
      <c r="J43" s="12"/>
      <c r="K43" s="14" t="s">
        <v>9</v>
      </c>
    </row>
    <row r="44" spans="1:11" ht="15.75" customHeight="1" x14ac:dyDescent="0.15">
      <c r="A44" s="8">
        <v>43</v>
      </c>
      <c r="B44" s="16" t="s">
        <v>31</v>
      </c>
      <c r="C44" s="16" t="s">
        <v>8</v>
      </c>
      <c r="D44" s="16" t="s">
        <v>64</v>
      </c>
      <c r="E44" s="9">
        <v>1344</v>
      </c>
      <c r="F44" s="9">
        <v>861.42</v>
      </c>
      <c r="G44" s="8" t="s">
        <v>63</v>
      </c>
      <c r="H44" s="8"/>
      <c r="I44" s="9"/>
      <c r="J44" s="9"/>
      <c r="K44" s="16" t="s">
        <v>9</v>
      </c>
    </row>
    <row r="45" spans="1:11" ht="15.75" customHeight="1" x14ac:dyDescent="0.15">
      <c r="A45" s="8">
        <v>44</v>
      </c>
      <c r="B45" s="16" t="s">
        <v>31</v>
      </c>
      <c r="C45" s="16" t="s">
        <v>55</v>
      </c>
      <c r="D45" s="16" t="s">
        <v>65</v>
      </c>
      <c r="E45" s="9">
        <v>637</v>
      </c>
      <c r="F45" s="9">
        <v>636.67999999999995</v>
      </c>
      <c r="G45" s="8" t="s">
        <v>63</v>
      </c>
      <c r="H45" s="8"/>
      <c r="I45" s="9"/>
      <c r="J45" s="9"/>
      <c r="K45" s="16" t="s">
        <v>9</v>
      </c>
    </row>
    <row r="46" spans="1:11" ht="15.75" customHeight="1" x14ac:dyDescent="0.15">
      <c r="A46" s="8">
        <v>45</v>
      </c>
      <c r="B46" s="16" t="s">
        <v>31</v>
      </c>
      <c r="C46" s="16" t="s">
        <v>53</v>
      </c>
      <c r="D46" s="16" t="s">
        <v>66</v>
      </c>
      <c r="E46" s="9">
        <v>670</v>
      </c>
      <c r="F46" s="9">
        <v>669.54</v>
      </c>
      <c r="G46" s="8" t="s">
        <v>63</v>
      </c>
      <c r="H46" s="8"/>
      <c r="I46" s="9"/>
      <c r="J46" s="9"/>
      <c r="K46" s="16" t="s">
        <v>9</v>
      </c>
    </row>
    <row r="47" spans="1:11" ht="15.75" customHeight="1" x14ac:dyDescent="0.15">
      <c r="A47" s="8">
        <v>46</v>
      </c>
      <c r="B47" s="16" t="s">
        <v>31</v>
      </c>
      <c r="C47" s="16" t="s">
        <v>57</v>
      </c>
      <c r="D47" s="16" t="s">
        <v>67</v>
      </c>
      <c r="E47" s="9">
        <v>2616</v>
      </c>
      <c r="F47" s="9">
        <v>1437.12</v>
      </c>
      <c r="G47" s="8" t="s">
        <v>63</v>
      </c>
      <c r="H47" s="8"/>
      <c r="I47" s="9"/>
      <c r="J47" s="9"/>
      <c r="K47" s="16" t="s">
        <v>9</v>
      </c>
    </row>
    <row r="48" spans="1:11" ht="15.75" customHeight="1" x14ac:dyDescent="0.15">
      <c r="A48" s="8">
        <v>47</v>
      </c>
      <c r="B48" s="16" t="s">
        <v>31</v>
      </c>
      <c r="C48" s="16" t="s">
        <v>59</v>
      </c>
      <c r="D48" s="16" t="s">
        <v>68</v>
      </c>
      <c r="E48" s="9">
        <v>3872</v>
      </c>
      <c r="F48" s="9">
        <v>1649.04</v>
      </c>
      <c r="G48" s="8" t="s">
        <v>63</v>
      </c>
      <c r="H48" s="8"/>
      <c r="I48" s="9"/>
      <c r="J48" s="9"/>
      <c r="K48" s="16" t="s">
        <v>9</v>
      </c>
    </row>
    <row r="49" spans="1:11" ht="15.75" customHeight="1" x14ac:dyDescent="0.15">
      <c r="A49" s="8">
        <v>48</v>
      </c>
      <c r="B49" s="16" t="s">
        <v>31</v>
      </c>
      <c r="C49" s="16" t="s">
        <v>61</v>
      </c>
      <c r="D49" s="16" t="s">
        <v>69</v>
      </c>
      <c r="E49" s="9">
        <v>335</v>
      </c>
      <c r="F49" s="9">
        <v>236.23</v>
      </c>
      <c r="G49" s="8" t="s">
        <v>63</v>
      </c>
      <c r="H49" s="8"/>
      <c r="I49" s="9"/>
      <c r="J49" s="9"/>
      <c r="K49" s="16" t="s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02F9E-AC0E-614F-ACB5-63E242DFE6FF}">
  <sheetPr>
    <outlinePr summaryBelow="0" summaryRight="0"/>
  </sheetPr>
  <dimension ref="A1:N38"/>
  <sheetViews>
    <sheetView tabSelected="1" topLeftCell="D1" zoomScale="109" workbookViewId="0">
      <selection activeCell="O11" sqref="O11"/>
    </sheetView>
  </sheetViews>
  <sheetFormatPr baseColWidth="10" defaultColWidth="12.6640625" defaultRowHeight="15.75" customHeight="1" x14ac:dyDescent="0.15"/>
  <cols>
    <col min="1" max="1" width="5.83203125" bestFit="1" customWidth="1"/>
    <col min="2" max="2" width="15.33203125" customWidth="1"/>
    <col min="3" max="3" width="35.33203125" bestFit="1" customWidth="1"/>
    <col min="4" max="5" width="35.33203125" customWidth="1"/>
    <col min="6" max="6" width="8.6640625" bestFit="1" customWidth="1"/>
    <col min="7" max="7" width="6.1640625" bestFit="1" customWidth="1"/>
    <col min="8" max="8" width="6.5" bestFit="1" customWidth="1"/>
    <col min="9" max="11" width="8.83203125" bestFit="1" customWidth="1"/>
  </cols>
  <sheetData>
    <row r="1" spans="1:14" ht="15.75" customHeight="1" x14ac:dyDescent="0.2">
      <c r="A1" s="19" t="s">
        <v>10</v>
      </c>
      <c r="B1" s="19" t="s">
        <v>44</v>
      </c>
      <c r="C1" s="19" t="s">
        <v>51</v>
      </c>
      <c r="D1" s="19" t="s">
        <v>46</v>
      </c>
      <c r="E1" s="19" t="s">
        <v>11</v>
      </c>
      <c r="F1" s="19" t="s">
        <v>12</v>
      </c>
      <c r="G1" s="19" t="s">
        <v>13</v>
      </c>
      <c r="H1" s="19" t="s">
        <v>14</v>
      </c>
      <c r="I1" s="19" t="s">
        <v>15</v>
      </c>
      <c r="J1" s="19" t="s">
        <v>16</v>
      </c>
      <c r="K1" s="19" t="s">
        <v>17</v>
      </c>
      <c r="L1" s="19" t="s">
        <v>83</v>
      </c>
      <c r="M1" s="19" t="s">
        <v>84</v>
      </c>
      <c r="N1" s="19" t="s">
        <v>85</v>
      </c>
    </row>
    <row r="2" spans="1:14" ht="15.75" customHeight="1" x14ac:dyDescent="0.15">
      <c r="A2" s="4">
        <v>1</v>
      </c>
      <c r="B2" s="4" t="s">
        <v>23</v>
      </c>
      <c r="C2" s="4" t="s">
        <v>8</v>
      </c>
      <c r="D2" s="4" t="s">
        <v>18</v>
      </c>
      <c r="E2" s="4" t="s">
        <v>79</v>
      </c>
      <c r="F2" s="4">
        <f>ROUND(L2/$F$38,2)</f>
        <v>61.11</v>
      </c>
      <c r="G2" s="4">
        <f>ROUND(F2*N2/1.96/100,2)</f>
        <v>11.96</v>
      </c>
      <c r="H2" s="4" t="s">
        <v>63</v>
      </c>
      <c r="I2" s="4"/>
      <c r="J2" s="4"/>
      <c r="K2" s="4"/>
      <c r="L2" s="4">
        <v>28.72</v>
      </c>
      <c r="M2" s="4">
        <v>5.62</v>
      </c>
      <c r="N2" s="4">
        <f>M2*1.96/L2*100</f>
        <v>38.353760445682454</v>
      </c>
    </row>
    <row r="3" spans="1:14" ht="15.75" customHeight="1" x14ac:dyDescent="0.15">
      <c r="A3" s="4">
        <v>2</v>
      </c>
      <c r="B3" s="4" t="s">
        <v>23</v>
      </c>
      <c r="C3" s="4" t="s">
        <v>55</v>
      </c>
      <c r="D3" s="4" t="s">
        <v>18</v>
      </c>
      <c r="E3" s="4" t="s">
        <v>79</v>
      </c>
      <c r="F3" s="4">
        <f>ROUND(L3/$F$38,2)</f>
        <v>181.57</v>
      </c>
      <c r="G3" s="4">
        <f>ROUND(F3*N3/1.96/100,2)</f>
        <v>97.02</v>
      </c>
      <c r="H3" s="4" t="s">
        <v>63</v>
      </c>
      <c r="I3" s="4"/>
      <c r="J3" s="4"/>
      <c r="K3" s="4"/>
      <c r="L3" s="4">
        <v>85.34</v>
      </c>
      <c r="M3" s="4">
        <v>45.6</v>
      </c>
      <c r="N3" s="4">
        <f>M3*1.96/L3*100</f>
        <v>104.72931802202953</v>
      </c>
    </row>
    <row r="4" spans="1:14" ht="15.75" customHeight="1" x14ac:dyDescent="0.15">
      <c r="A4" s="4">
        <v>3</v>
      </c>
      <c r="B4" s="4" t="s">
        <v>23</v>
      </c>
      <c r="C4" s="4" t="s">
        <v>53</v>
      </c>
      <c r="D4" s="4" t="s">
        <v>18</v>
      </c>
      <c r="E4" s="4" t="s">
        <v>79</v>
      </c>
      <c r="F4" s="4">
        <f>ROUND(L4/$F$38,2)</f>
        <v>453.17</v>
      </c>
      <c r="G4" s="4">
        <f>ROUND(F4*N4/1.96/100,2)</f>
        <v>92.72</v>
      </c>
      <c r="H4" s="4" t="s">
        <v>63</v>
      </c>
      <c r="I4" s="4"/>
      <c r="J4" s="4"/>
      <c r="K4" s="4"/>
      <c r="L4" s="4">
        <v>212.99</v>
      </c>
      <c r="M4" s="4">
        <v>43.58</v>
      </c>
      <c r="N4" s="4">
        <f>M4*1.96/L4*100</f>
        <v>40.103666838818718</v>
      </c>
    </row>
    <row r="5" spans="1:14" ht="15.75" customHeight="1" x14ac:dyDescent="0.15">
      <c r="A5" s="4">
        <v>4</v>
      </c>
      <c r="B5" s="4" t="s">
        <v>23</v>
      </c>
      <c r="C5" s="4" t="s">
        <v>57</v>
      </c>
      <c r="D5" s="4" t="s">
        <v>18</v>
      </c>
      <c r="E5" s="4" t="s">
        <v>79</v>
      </c>
      <c r="F5" s="4">
        <f>ROUND(L5/$F$38,2)</f>
        <v>224.43</v>
      </c>
      <c r="G5" s="4">
        <f>ROUND(F5*N5/1.96/100,2)</f>
        <v>78.83</v>
      </c>
      <c r="H5" s="4" t="s">
        <v>63</v>
      </c>
      <c r="I5" s="4"/>
      <c r="J5" s="4"/>
      <c r="K5" s="4"/>
      <c r="L5" s="4">
        <v>105.48</v>
      </c>
      <c r="M5" s="4">
        <v>37.049999999999997</v>
      </c>
      <c r="N5" s="4">
        <f>M5*1.96/L5*100</f>
        <v>68.845278725824798</v>
      </c>
    </row>
    <row r="6" spans="1:14" ht="15.75" customHeight="1" x14ac:dyDescent="0.15">
      <c r="A6" s="4">
        <v>5</v>
      </c>
      <c r="B6" s="4" t="s">
        <v>23</v>
      </c>
      <c r="C6" s="4" t="s">
        <v>59</v>
      </c>
      <c r="D6" s="4" t="s">
        <v>18</v>
      </c>
      <c r="E6" s="4" t="s">
        <v>79</v>
      </c>
      <c r="F6" s="4">
        <f>ROUND(L6/$F$38,2)</f>
        <v>169.6</v>
      </c>
      <c r="G6" s="4">
        <f>ROUND(F6*N6/1.96/100,2)</f>
        <v>24.58</v>
      </c>
      <c r="H6" s="4" t="s">
        <v>63</v>
      </c>
      <c r="I6" s="4"/>
      <c r="J6" s="4"/>
      <c r="K6" s="4"/>
      <c r="L6" s="4">
        <v>79.709999999999994</v>
      </c>
      <c r="M6" s="4">
        <v>11.55</v>
      </c>
      <c r="N6" s="4">
        <f>M6*1.96/L6*100</f>
        <v>28.400451637184798</v>
      </c>
    </row>
    <row r="7" spans="1:14" ht="15.75" customHeight="1" x14ac:dyDescent="0.15">
      <c r="A7" s="4">
        <v>6</v>
      </c>
      <c r="B7" s="4" t="s">
        <v>23</v>
      </c>
      <c r="C7" s="4" t="s">
        <v>61</v>
      </c>
      <c r="D7" s="4" t="s">
        <v>18</v>
      </c>
      <c r="E7" s="4" t="s">
        <v>79</v>
      </c>
      <c r="F7" s="4">
        <f>ROUND(L7/$F$38,2)</f>
        <v>166.66</v>
      </c>
      <c r="G7" s="4">
        <f>ROUND(F7*N7/1.96/100,2)</f>
        <v>30.98</v>
      </c>
      <c r="H7" s="4" t="s">
        <v>63</v>
      </c>
      <c r="I7" s="4"/>
      <c r="J7" s="4"/>
      <c r="K7" s="4"/>
      <c r="L7" s="4">
        <v>78.33</v>
      </c>
      <c r="M7" s="4">
        <v>14.56</v>
      </c>
      <c r="N7" s="4">
        <f>M7*1.96/L7*100</f>
        <v>36.432529043789096</v>
      </c>
    </row>
    <row r="8" spans="1:14" ht="15.75" customHeight="1" x14ac:dyDescent="0.15">
      <c r="A8" s="5">
        <v>7</v>
      </c>
      <c r="B8" s="5" t="s">
        <v>23</v>
      </c>
      <c r="C8" s="5" t="s">
        <v>8</v>
      </c>
      <c r="D8" s="5" t="s">
        <v>20</v>
      </c>
      <c r="E8" s="5" t="s">
        <v>79</v>
      </c>
      <c r="F8" s="5">
        <f>ROUND(L8/$F$38,2)</f>
        <v>23.17</v>
      </c>
      <c r="G8" s="5">
        <f>ROUND(F8*N8/1.96/100,2)</f>
        <v>4.13</v>
      </c>
      <c r="H8" s="5" t="s">
        <v>63</v>
      </c>
      <c r="I8" s="5"/>
      <c r="J8" s="5"/>
      <c r="K8" s="5"/>
      <c r="L8" s="5">
        <v>10.89</v>
      </c>
      <c r="M8" s="5">
        <v>1.94</v>
      </c>
      <c r="N8" s="5">
        <f>M8*1.96/L8*100</f>
        <v>34.91643709825528</v>
      </c>
    </row>
    <row r="9" spans="1:14" ht="15.75" customHeight="1" x14ac:dyDescent="0.15">
      <c r="A9" s="5">
        <v>8</v>
      </c>
      <c r="B9" s="5" t="s">
        <v>23</v>
      </c>
      <c r="C9" s="5" t="s">
        <v>55</v>
      </c>
      <c r="D9" s="5" t="s">
        <v>20</v>
      </c>
      <c r="E9" s="5" t="s">
        <v>79</v>
      </c>
      <c r="F9" s="5">
        <f>ROUND(L9/$F$38,2)</f>
        <v>23.47</v>
      </c>
      <c r="G9" s="5">
        <f>ROUND(F9*N9/1.96/100,2)</f>
        <v>11.15</v>
      </c>
      <c r="H9" s="5" t="s">
        <v>63</v>
      </c>
      <c r="I9" s="5"/>
      <c r="J9" s="5"/>
      <c r="K9" s="5"/>
      <c r="L9" s="5">
        <v>11.03</v>
      </c>
      <c r="M9" s="5">
        <v>5.24</v>
      </c>
      <c r="N9" s="5">
        <f>M9*1.96/L9*100</f>
        <v>93.113327289211256</v>
      </c>
    </row>
    <row r="10" spans="1:14" ht="15.75" customHeight="1" x14ac:dyDescent="0.15">
      <c r="A10" s="5">
        <v>9</v>
      </c>
      <c r="B10" s="5" t="s">
        <v>23</v>
      </c>
      <c r="C10" s="5" t="s">
        <v>53</v>
      </c>
      <c r="D10" s="5" t="s">
        <v>20</v>
      </c>
      <c r="E10" s="5" t="s">
        <v>79</v>
      </c>
      <c r="F10" s="5">
        <f>ROUND(L10/$F$38,2)</f>
        <v>59.83</v>
      </c>
      <c r="G10" s="5">
        <f>ROUND(F10*N10/1.96/100,2)</f>
        <v>12.43</v>
      </c>
      <c r="H10" s="5" t="s">
        <v>63</v>
      </c>
      <c r="I10" s="5"/>
      <c r="J10" s="5"/>
      <c r="K10" s="5"/>
      <c r="L10" s="5">
        <v>28.12</v>
      </c>
      <c r="M10" s="5">
        <v>5.84</v>
      </c>
      <c r="N10" s="5">
        <f>M10*1.96/L10*100</f>
        <v>40.705547652916067</v>
      </c>
    </row>
    <row r="11" spans="1:14" ht="15.75" customHeight="1" x14ac:dyDescent="0.15">
      <c r="A11" s="5">
        <v>10</v>
      </c>
      <c r="B11" s="5" t="s">
        <v>23</v>
      </c>
      <c r="C11" s="5" t="s">
        <v>57</v>
      </c>
      <c r="D11" s="5" t="s">
        <v>20</v>
      </c>
      <c r="E11" s="5" t="s">
        <v>79</v>
      </c>
      <c r="F11" s="5">
        <f>ROUND(L11/$F$38,2)</f>
        <v>57.74</v>
      </c>
      <c r="G11" s="5">
        <f>ROUND(F11*N11/1.96/100,2)</f>
        <v>8.08</v>
      </c>
      <c r="H11" s="5" t="s">
        <v>63</v>
      </c>
      <c r="I11" s="5"/>
      <c r="J11" s="5"/>
      <c r="K11" s="5"/>
      <c r="L11" s="5">
        <v>27.14</v>
      </c>
      <c r="M11" s="5">
        <v>3.8</v>
      </c>
      <c r="N11" s="5">
        <f>M11*1.96/L11*100</f>
        <v>27.442888725128959</v>
      </c>
    </row>
    <row r="12" spans="1:14" ht="15.75" customHeight="1" x14ac:dyDescent="0.15">
      <c r="A12" s="5">
        <v>11</v>
      </c>
      <c r="B12" s="5" t="s">
        <v>23</v>
      </c>
      <c r="C12" s="5" t="s">
        <v>59</v>
      </c>
      <c r="D12" s="5" t="s">
        <v>20</v>
      </c>
      <c r="E12" s="5" t="s">
        <v>79</v>
      </c>
      <c r="F12" s="5">
        <f>ROUND(L12/$F$38,2)</f>
        <v>42.43</v>
      </c>
      <c r="G12" s="5">
        <f>ROUND(F12*N12/1.96/100,2)</f>
        <v>4.7699999999999996</v>
      </c>
      <c r="H12" s="5" t="s">
        <v>63</v>
      </c>
      <c r="I12" s="5"/>
      <c r="J12" s="5"/>
      <c r="K12" s="5"/>
      <c r="L12" s="5">
        <v>19.940000000000001</v>
      </c>
      <c r="M12" s="5">
        <v>2.2400000000000002</v>
      </c>
      <c r="N12" s="5">
        <f>M12*1.96/L12*100</f>
        <v>22.018054162487463</v>
      </c>
    </row>
    <row r="13" spans="1:14" ht="15.75" customHeight="1" x14ac:dyDescent="0.15">
      <c r="A13" s="5">
        <v>12</v>
      </c>
      <c r="B13" s="5" t="s">
        <v>23</v>
      </c>
      <c r="C13" s="5" t="s">
        <v>61</v>
      </c>
      <c r="D13" s="5" t="s">
        <v>20</v>
      </c>
      <c r="E13" s="5" t="s">
        <v>79</v>
      </c>
      <c r="F13" s="5">
        <f>ROUND(L13/$F$38,2)</f>
        <v>53.81</v>
      </c>
      <c r="G13" s="5">
        <f>ROUND(F13*N13/1.96/100,2)</f>
        <v>5.26</v>
      </c>
      <c r="H13" s="5" t="s">
        <v>63</v>
      </c>
      <c r="I13" s="5"/>
      <c r="J13" s="5"/>
      <c r="K13" s="5"/>
      <c r="L13" s="5">
        <v>25.29</v>
      </c>
      <c r="M13" s="5">
        <v>2.4700000000000002</v>
      </c>
      <c r="N13" s="5">
        <f>M13*1.96/L13*100</f>
        <v>19.142744167655206</v>
      </c>
    </row>
    <row r="14" spans="1:14" ht="15.75" customHeight="1" x14ac:dyDescent="0.15">
      <c r="A14" s="4">
        <v>13</v>
      </c>
      <c r="B14" s="4" t="s">
        <v>23</v>
      </c>
      <c r="C14" s="4" t="s">
        <v>8</v>
      </c>
      <c r="D14" s="4" t="s">
        <v>21</v>
      </c>
      <c r="E14" s="4" t="s">
        <v>19</v>
      </c>
      <c r="F14" s="4">
        <v>21.53</v>
      </c>
      <c r="G14" s="4">
        <v>4.45</v>
      </c>
      <c r="H14" s="4" t="s">
        <v>63</v>
      </c>
      <c r="I14" s="4"/>
      <c r="J14" s="4"/>
      <c r="K14" s="4"/>
    </row>
    <row r="15" spans="1:14" ht="15.75" customHeight="1" x14ac:dyDescent="0.15">
      <c r="A15" s="4">
        <v>14</v>
      </c>
      <c r="B15" s="4" t="s">
        <v>23</v>
      </c>
      <c r="C15" s="4" t="s">
        <v>55</v>
      </c>
      <c r="D15" s="4" t="s">
        <v>21</v>
      </c>
      <c r="E15" s="4" t="s">
        <v>19</v>
      </c>
      <c r="F15" s="4">
        <v>30.42</v>
      </c>
      <c r="G15" s="4">
        <v>25.56</v>
      </c>
      <c r="H15" s="4" t="s">
        <v>63</v>
      </c>
      <c r="I15" s="4"/>
      <c r="J15" s="4"/>
      <c r="K15" s="4"/>
    </row>
    <row r="16" spans="1:14" ht="15.75" customHeight="1" x14ac:dyDescent="0.15">
      <c r="A16" s="4">
        <v>15</v>
      </c>
      <c r="B16" s="4" t="s">
        <v>23</v>
      </c>
      <c r="C16" s="4" t="s">
        <v>53</v>
      </c>
      <c r="D16" s="4" t="s">
        <v>21</v>
      </c>
      <c r="E16" s="4" t="s">
        <v>19</v>
      </c>
      <c r="F16" s="4">
        <v>19.2</v>
      </c>
      <c r="G16" s="4">
        <v>6.75</v>
      </c>
      <c r="H16" s="4" t="s">
        <v>63</v>
      </c>
      <c r="I16" s="4"/>
      <c r="J16" s="4"/>
      <c r="K16" s="4"/>
    </row>
    <row r="17" spans="1:11" ht="15.75" customHeight="1" x14ac:dyDescent="0.15">
      <c r="A17" s="4">
        <v>16</v>
      </c>
      <c r="B17" s="4" t="s">
        <v>23</v>
      </c>
      <c r="C17" s="4" t="s">
        <v>57</v>
      </c>
      <c r="D17" s="4" t="s">
        <v>21</v>
      </c>
      <c r="E17" s="4" t="s">
        <v>19</v>
      </c>
      <c r="F17" s="4">
        <v>69.12</v>
      </c>
      <c r="G17" s="4">
        <v>23.29</v>
      </c>
      <c r="H17" s="4" t="s">
        <v>63</v>
      </c>
      <c r="I17" s="4"/>
      <c r="J17" s="4"/>
      <c r="K17" s="4"/>
    </row>
    <row r="18" spans="1:11" ht="15.75" customHeight="1" x14ac:dyDescent="0.15">
      <c r="A18" s="4">
        <v>17</v>
      </c>
      <c r="B18" s="4" t="s">
        <v>23</v>
      </c>
      <c r="C18" s="4" t="s">
        <v>59</v>
      </c>
      <c r="D18" s="4" t="s">
        <v>21</v>
      </c>
      <c r="E18" s="4" t="s">
        <v>19</v>
      </c>
      <c r="F18" s="4">
        <v>40.549999999999997</v>
      </c>
      <c r="G18" s="4">
        <v>7.76</v>
      </c>
      <c r="H18" s="4" t="s">
        <v>63</v>
      </c>
      <c r="I18" s="4"/>
      <c r="J18" s="4"/>
      <c r="K18" s="4"/>
    </row>
    <row r="19" spans="1:11" ht="15.75" customHeight="1" x14ac:dyDescent="0.15">
      <c r="A19" s="4">
        <v>18</v>
      </c>
      <c r="B19" s="4" t="s">
        <v>23</v>
      </c>
      <c r="C19" s="4" t="s">
        <v>61</v>
      </c>
      <c r="D19" s="4" t="s">
        <v>21</v>
      </c>
      <c r="E19" s="4" t="s">
        <v>19</v>
      </c>
      <c r="F19" s="4">
        <v>44.03</v>
      </c>
      <c r="G19" s="4">
        <v>14.81</v>
      </c>
      <c r="H19" s="4" t="s">
        <v>63</v>
      </c>
      <c r="I19" s="4"/>
      <c r="J19" s="4"/>
      <c r="K19" s="4"/>
    </row>
    <row r="20" spans="1:11" ht="15.75" customHeight="1" x14ac:dyDescent="0.15">
      <c r="A20" s="5">
        <v>19</v>
      </c>
      <c r="B20" s="5" t="s">
        <v>23</v>
      </c>
      <c r="C20" s="5" t="s">
        <v>8</v>
      </c>
      <c r="D20" s="5" t="s">
        <v>22</v>
      </c>
      <c r="E20" s="5" t="s">
        <v>19</v>
      </c>
      <c r="F20" s="5">
        <v>2.73</v>
      </c>
      <c r="G20" s="5">
        <v>0.41</v>
      </c>
      <c r="H20" s="5" t="s">
        <v>63</v>
      </c>
      <c r="I20" s="5"/>
      <c r="J20" s="5"/>
      <c r="K20" s="5"/>
    </row>
    <row r="21" spans="1:11" ht="15.75" customHeight="1" x14ac:dyDescent="0.15">
      <c r="A21" s="5">
        <v>20</v>
      </c>
      <c r="B21" s="5" t="s">
        <v>23</v>
      </c>
      <c r="C21" s="5" t="s">
        <v>55</v>
      </c>
      <c r="D21" s="5" t="s">
        <v>22</v>
      </c>
      <c r="E21" s="5" t="s">
        <v>19</v>
      </c>
      <c r="F21" s="5">
        <v>3.13</v>
      </c>
      <c r="G21" s="5">
        <v>0.42</v>
      </c>
      <c r="H21" s="5" t="s">
        <v>63</v>
      </c>
      <c r="I21" s="5"/>
      <c r="J21" s="5"/>
      <c r="K21" s="5"/>
    </row>
    <row r="22" spans="1:11" ht="15.75" customHeight="1" x14ac:dyDescent="0.15">
      <c r="A22" s="5">
        <v>21</v>
      </c>
      <c r="B22" s="5" t="s">
        <v>23</v>
      </c>
      <c r="C22" s="5" t="s">
        <v>53</v>
      </c>
      <c r="D22" s="5" t="s">
        <v>22</v>
      </c>
      <c r="E22" s="5" t="s">
        <v>19</v>
      </c>
      <c r="F22" s="5">
        <v>3.48</v>
      </c>
      <c r="G22" s="5">
        <v>1.07</v>
      </c>
      <c r="H22" s="5" t="s">
        <v>63</v>
      </c>
      <c r="I22" s="5"/>
      <c r="J22" s="5"/>
      <c r="K22" s="5"/>
    </row>
    <row r="23" spans="1:11" ht="15.75" customHeight="1" x14ac:dyDescent="0.15">
      <c r="A23" s="5">
        <v>22</v>
      </c>
      <c r="B23" s="5" t="s">
        <v>23</v>
      </c>
      <c r="C23" s="5" t="s">
        <v>57</v>
      </c>
      <c r="D23" s="5" t="s">
        <v>22</v>
      </c>
      <c r="E23" s="5" t="s">
        <v>19</v>
      </c>
      <c r="F23" s="5">
        <v>3.06</v>
      </c>
      <c r="G23" s="5">
        <v>0.47</v>
      </c>
      <c r="H23" s="5" t="s">
        <v>63</v>
      </c>
      <c r="I23" s="5"/>
      <c r="J23" s="5"/>
      <c r="K23" s="5"/>
    </row>
    <row r="24" spans="1:11" ht="15.75" customHeight="1" x14ac:dyDescent="0.15">
      <c r="A24" s="5">
        <v>23</v>
      </c>
      <c r="B24" s="5" t="s">
        <v>23</v>
      </c>
      <c r="C24" s="5" t="s">
        <v>59</v>
      </c>
      <c r="D24" s="5" t="s">
        <v>22</v>
      </c>
      <c r="E24" s="5" t="s">
        <v>19</v>
      </c>
      <c r="F24" s="5">
        <v>2.52</v>
      </c>
      <c r="G24" s="5">
        <v>0.36</v>
      </c>
      <c r="H24" s="5" t="s">
        <v>63</v>
      </c>
      <c r="I24" s="5"/>
      <c r="J24" s="5"/>
      <c r="K24" s="5"/>
    </row>
    <row r="25" spans="1:11" ht="15.75" customHeight="1" x14ac:dyDescent="0.15">
      <c r="A25" s="5">
        <v>24</v>
      </c>
      <c r="B25" s="5" t="s">
        <v>23</v>
      </c>
      <c r="C25" s="5" t="s">
        <v>61</v>
      </c>
      <c r="D25" s="5" t="s">
        <v>22</v>
      </c>
      <c r="E25" s="5" t="s">
        <v>19</v>
      </c>
      <c r="F25" s="5">
        <v>1.45</v>
      </c>
      <c r="G25" s="5">
        <v>0.26</v>
      </c>
      <c r="H25" s="5" t="s">
        <v>63</v>
      </c>
      <c r="I25" s="5"/>
      <c r="J25" s="5"/>
      <c r="K25" s="5"/>
    </row>
    <row r="26" spans="1:11" ht="15.75" customHeight="1" x14ac:dyDescent="0.15">
      <c r="A26" s="4">
        <v>25</v>
      </c>
      <c r="B26" s="4" t="s">
        <v>23</v>
      </c>
      <c r="C26" s="4" t="s">
        <v>52</v>
      </c>
      <c r="D26" s="4" t="s">
        <v>23</v>
      </c>
      <c r="E26" s="4" t="s">
        <v>19</v>
      </c>
      <c r="F26" s="4">
        <v>15.02</v>
      </c>
      <c r="G26" s="4">
        <v>16.96</v>
      </c>
      <c r="H26" s="4" t="s">
        <v>63</v>
      </c>
      <c r="I26" s="4"/>
      <c r="J26" s="4"/>
      <c r="K26" s="4"/>
    </row>
    <row r="27" spans="1:11" ht="15.75" customHeight="1" x14ac:dyDescent="0.15">
      <c r="A27" s="4">
        <v>26</v>
      </c>
      <c r="B27" s="4" t="s">
        <v>23</v>
      </c>
      <c r="C27" s="4" t="s">
        <v>56</v>
      </c>
      <c r="D27" s="4" t="s">
        <v>23</v>
      </c>
      <c r="E27" s="4" t="s">
        <v>19</v>
      </c>
      <c r="F27" s="4">
        <v>15.95</v>
      </c>
      <c r="G27" s="4">
        <v>15.34</v>
      </c>
      <c r="H27" s="4" t="s">
        <v>63</v>
      </c>
      <c r="I27" s="4"/>
      <c r="J27" s="4"/>
      <c r="K27" s="4"/>
    </row>
    <row r="28" spans="1:11" ht="15.75" customHeight="1" x14ac:dyDescent="0.15">
      <c r="A28" s="4">
        <v>27</v>
      </c>
      <c r="B28" s="4" t="s">
        <v>23</v>
      </c>
      <c r="C28" s="4" t="s">
        <v>54</v>
      </c>
      <c r="D28" s="4" t="s">
        <v>23</v>
      </c>
      <c r="E28" s="4" t="s">
        <v>19</v>
      </c>
      <c r="F28" s="4">
        <v>17.809999999999999</v>
      </c>
      <c r="G28" s="4">
        <v>8.26</v>
      </c>
      <c r="H28" s="4" t="s">
        <v>63</v>
      </c>
      <c r="I28" s="4"/>
      <c r="J28" s="4"/>
      <c r="K28" s="4"/>
    </row>
    <row r="29" spans="1:11" ht="15.75" customHeight="1" x14ac:dyDescent="0.15">
      <c r="A29" s="4">
        <v>28</v>
      </c>
      <c r="B29" s="4" t="s">
        <v>23</v>
      </c>
      <c r="C29" s="4" t="s">
        <v>58</v>
      </c>
      <c r="D29" s="4" t="s">
        <v>23</v>
      </c>
      <c r="E29" s="4" t="s">
        <v>19</v>
      </c>
      <c r="F29" s="4">
        <v>14.52</v>
      </c>
      <c r="G29" s="4">
        <v>6.78</v>
      </c>
      <c r="H29" s="4" t="s">
        <v>63</v>
      </c>
      <c r="I29" s="4"/>
      <c r="J29" s="4"/>
      <c r="K29" s="4"/>
    </row>
    <row r="30" spans="1:11" ht="15.75" customHeight="1" x14ac:dyDescent="0.15">
      <c r="A30" s="4">
        <v>29</v>
      </c>
      <c r="B30" s="4" t="s">
        <v>23</v>
      </c>
      <c r="C30" s="4" t="s">
        <v>60</v>
      </c>
      <c r="D30" s="4" t="s">
        <v>23</v>
      </c>
      <c r="E30" s="4" t="s">
        <v>19</v>
      </c>
      <c r="F30" s="4">
        <v>18.5</v>
      </c>
      <c r="G30" s="4">
        <v>7.28</v>
      </c>
      <c r="H30" s="4" t="s">
        <v>63</v>
      </c>
      <c r="I30" s="4"/>
      <c r="J30" s="4"/>
      <c r="K30" s="4"/>
    </row>
    <row r="31" spans="1:11" ht="15.75" customHeight="1" x14ac:dyDescent="0.15">
      <c r="A31" s="4">
        <v>30</v>
      </c>
      <c r="B31" s="4" t="s">
        <v>23</v>
      </c>
      <c r="C31" s="4" t="s">
        <v>62</v>
      </c>
      <c r="D31" s="4" t="s">
        <v>23</v>
      </c>
      <c r="E31" s="4" t="s">
        <v>19</v>
      </c>
      <c r="F31" s="4">
        <v>8.3000000000000007</v>
      </c>
      <c r="G31" s="4">
        <v>8.75</v>
      </c>
      <c r="H31" s="4" t="s">
        <v>63</v>
      </c>
      <c r="I31" s="4"/>
      <c r="J31" s="4"/>
      <c r="K31" s="4"/>
    </row>
    <row r="32" spans="1:11" ht="15.75" customHeight="1" x14ac:dyDescent="0.15">
      <c r="A32" s="5">
        <v>31</v>
      </c>
      <c r="B32" s="5" t="s">
        <v>23</v>
      </c>
      <c r="C32" s="5" t="s">
        <v>64</v>
      </c>
      <c r="D32" s="5" t="s">
        <v>36</v>
      </c>
      <c r="E32" s="5" t="s">
        <v>78</v>
      </c>
      <c r="F32" s="5">
        <v>0.55000000000000004</v>
      </c>
      <c r="G32" s="5">
        <v>0.08</v>
      </c>
      <c r="H32" s="5" t="s">
        <v>71</v>
      </c>
      <c r="I32" s="5">
        <f>ROUND((F32*(1-F32)/(G32*G32)-1)*F32,2)</f>
        <v>20.72</v>
      </c>
      <c r="J32" s="5">
        <f>ROUND((F32*(1-F32)/(G32*G32)-1)*(1-F32),2)</f>
        <v>16.95</v>
      </c>
      <c r="K32" s="5"/>
    </row>
    <row r="33" spans="1:11" ht="15.75" customHeight="1" x14ac:dyDescent="0.15">
      <c r="A33" s="5">
        <v>32</v>
      </c>
      <c r="B33" s="5" t="s">
        <v>23</v>
      </c>
      <c r="C33" s="5" t="s">
        <v>65</v>
      </c>
      <c r="D33" s="5" t="s">
        <v>36</v>
      </c>
      <c r="E33" s="5" t="s">
        <v>78</v>
      </c>
      <c r="F33" s="5">
        <v>0.74</v>
      </c>
      <c r="G33" s="5">
        <v>0.02</v>
      </c>
      <c r="H33" s="5" t="s">
        <v>71</v>
      </c>
      <c r="I33" s="5">
        <f t="shared" ref="I33:I37" si="0">ROUND((F33*(1-F33)/(G33*G33)-1)*F33,2)</f>
        <v>355.2</v>
      </c>
      <c r="J33" s="5">
        <f t="shared" ref="J33:J37" si="1">ROUND((F33*(1-F33)/(G33*G33)-1)*(1-F33),2)</f>
        <v>124.8</v>
      </c>
      <c r="K33" s="5"/>
    </row>
    <row r="34" spans="1:11" ht="15.75" customHeight="1" x14ac:dyDescent="0.15">
      <c r="A34" s="5">
        <v>33</v>
      </c>
      <c r="B34" s="5" t="s">
        <v>23</v>
      </c>
      <c r="C34" s="5" t="s">
        <v>66</v>
      </c>
      <c r="D34" s="5" t="s">
        <v>36</v>
      </c>
      <c r="E34" s="5" t="s">
        <v>78</v>
      </c>
      <c r="F34" s="5">
        <v>0.74</v>
      </c>
      <c r="G34" s="5">
        <v>0.03</v>
      </c>
      <c r="H34" s="5" t="s">
        <v>71</v>
      </c>
      <c r="I34" s="5">
        <f t="shared" si="0"/>
        <v>157.46</v>
      </c>
      <c r="J34" s="5">
        <f t="shared" si="1"/>
        <v>55.32</v>
      </c>
      <c r="K34" s="5"/>
    </row>
    <row r="35" spans="1:11" ht="15.75" customHeight="1" x14ac:dyDescent="0.15">
      <c r="A35" s="5">
        <v>34</v>
      </c>
      <c r="B35" s="5" t="s">
        <v>23</v>
      </c>
      <c r="C35" s="5" t="s">
        <v>67</v>
      </c>
      <c r="D35" s="5" t="s">
        <v>36</v>
      </c>
      <c r="E35" s="5" t="s">
        <v>78</v>
      </c>
      <c r="F35" s="5">
        <v>0.74</v>
      </c>
      <c r="G35" s="5">
        <v>0.03</v>
      </c>
      <c r="H35" s="5" t="s">
        <v>71</v>
      </c>
      <c r="I35" s="5">
        <f t="shared" si="0"/>
        <v>157.46</v>
      </c>
      <c r="J35" s="5">
        <f t="shared" si="1"/>
        <v>55.32</v>
      </c>
      <c r="K35" s="5"/>
    </row>
    <row r="36" spans="1:11" ht="15.75" customHeight="1" x14ac:dyDescent="0.15">
      <c r="A36" s="5">
        <v>35</v>
      </c>
      <c r="B36" s="5" t="s">
        <v>23</v>
      </c>
      <c r="C36" s="5" t="s">
        <v>68</v>
      </c>
      <c r="D36" s="5" t="s">
        <v>36</v>
      </c>
      <c r="E36" s="5" t="s">
        <v>78</v>
      </c>
      <c r="F36" s="5">
        <v>0.74</v>
      </c>
      <c r="G36" s="5">
        <v>0.02</v>
      </c>
      <c r="H36" s="5" t="s">
        <v>71</v>
      </c>
      <c r="I36" s="5">
        <f t="shared" si="0"/>
        <v>355.2</v>
      </c>
      <c r="J36" s="5">
        <f t="shared" si="1"/>
        <v>124.8</v>
      </c>
      <c r="K36" s="5"/>
    </row>
    <row r="37" spans="1:11" ht="15.75" customHeight="1" x14ac:dyDescent="0.15">
      <c r="A37" s="5">
        <v>36</v>
      </c>
      <c r="B37" s="5" t="s">
        <v>23</v>
      </c>
      <c r="C37" s="5" t="s">
        <v>69</v>
      </c>
      <c r="D37" s="5" t="s">
        <v>36</v>
      </c>
      <c r="E37" s="5" t="s">
        <v>78</v>
      </c>
      <c r="F37" s="5">
        <v>0.74</v>
      </c>
      <c r="G37" s="5">
        <v>0.03</v>
      </c>
      <c r="H37" s="5" t="s">
        <v>71</v>
      </c>
      <c r="I37" s="5">
        <f t="shared" si="0"/>
        <v>157.46</v>
      </c>
      <c r="J37" s="5">
        <f t="shared" si="1"/>
        <v>55.32</v>
      </c>
      <c r="K37" s="5"/>
    </row>
    <row r="38" spans="1:11" ht="15.75" customHeight="1" x14ac:dyDescent="0.2">
      <c r="A38" s="28">
        <v>37</v>
      </c>
      <c r="B38" s="29" t="s">
        <v>23</v>
      </c>
      <c r="C38" s="29" t="s">
        <v>23</v>
      </c>
      <c r="D38" s="29" t="s">
        <v>80</v>
      </c>
      <c r="E38" s="29" t="s">
        <v>81</v>
      </c>
      <c r="F38" s="31">
        <v>0.47</v>
      </c>
      <c r="G38" s="31">
        <v>1.2999999999999999E-2</v>
      </c>
      <c r="H38" s="29" t="s">
        <v>82</v>
      </c>
      <c r="I38" s="30"/>
      <c r="J38" s="30"/>
      <c r="K38" s="30"/>
    </row>
  </sheetData>
  <dataValidations count="1">
    <dataValidation type="list" allowBlank="1" showErrorMessage="1" sqref="D2:D31" xr:uid="{3D7EF7D9-A43C-A04A-950F-6332D8AE5CD1}">
      <formula1>"AGB,BGB,DW,LI,SOC,ALL"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setup</vt:lpstr>
      <vt:lpstr>time</vt:lpstr>
      <vt:lpstr>area</vt:lpstr>
      <vt:lpstr>carbon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Sola, Gael (NFOM)</cp:lastModifiedBy>
  <dcterms:created xsi:type="dcterms:W3CDTF">2024-11-26T05:23:27Z</dcterms:created>
  <dcterms:modified xsi:type="dcterms:W3CDTF">2026-09-29T05:36:45Z</dcterms:modified>
</cp:coreProperties>
</file>