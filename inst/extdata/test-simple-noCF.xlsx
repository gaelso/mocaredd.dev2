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gaelsola/code/mocaredd.dev2/inst/extdata/"/>
    </mc:Choice>
  </mc:AlternateContent>
  <xr:revisionPtr revIDLastSave="0" documentId="13_ncr:1_{AB8A04C6-D52D-7D4C-B29B-94B3BAB74034}" xr6:coauthVersionLast="47" xr6:coauthVersionMax="47" xr10:uidLastSave="{00000000-0000-0000-0000-000000000000}"/>
  <bookViews>
    <workbookView xWindow="1200" yWindow="660" windowWidth="28200" windowHeight="18460" activeTab="4" xr2:uid="{00000000-000D-0000-FFFF-FFFF00000000}"/>
  </bookViews>
  <sheets>
    <sheet name="README" sheetId="11" r:id="rId1"/>
    <sheet name="setup" sheetId="2" r:id="rId2"/>
    <sheet name="time" sheetId="3" r:id="rId3"/>
    <sheet name="area" sheetId="4" r:id="rId4"/>
    <sheet name="carbon" sheetId="5" r:id="rId5"/>
  </sheets>
  <definedNames>
    <definedName name="ci_alpha">#REF!</definedName>
    <definedName name="conf_level">#REF!</definedName>
    <definedName name="n_iter">#REF!</definedName>
    <definedName name="year_mon">#REF!</definedName>
    <definedName name="year_ref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5" l="1"/>
  <c r="I7" i="5"/>
  <c r="J6" i="5"/>
  <c r="I6" i="5"/>
</calcChain>
</file>

<file path=xl/sharedStrings.xml><?xml version="1.0" encoding="utf-8"?>
<sst xmlns="http://schemas.openxmlformats.org/spreadsheetml/2006/main" count="141" uniqueCount="62">
  <si>
    <t>trunc_pdf</t>
  </si>
  <si>
    <t>n_iter</t>
  </si>
  <si>
    <t>ran_seed</t>
  </si>
  <si>
    <t>c_unit</t>
  </si>
  <si>
    <t>dg_pool</t>
  </si>
  <si>
    <t>ad_annual</t>
  </si>
  <si>
    <t>conf_level</t>
  </si>
  <si>
    <t>dg_ext</t>
  </si>
  <si>
    <t>DM</t>
  </si>
  <si>
    <t>normal</t>
  </si>
  <si>
    <t>ALL</t>
  </si>
  <si>
    <t>period_no</t>
  </si>
  <si>
    <t>year_start</t>
  </si>
  <si>
    <t>year_end</t>
  </si>
  <si>
    <t>period_type</t>
  </si>
  <si>
    <t>T1</t>
  </si>
  <si>
    <t>REF</t>
  </si>
  <si>
    <t>T2</t>
  </si>
  <si>
    <t>MON1</t>
  </si>
  <si>
    <t>trans_no</t>
  </si>
  <si>
    <t>trans_period</t>
  </si>
  <si>
    <t>c_element</t>
  </si>
  <si>
    <t>trans_area</t>
  </si>
  <si>
    <t>trans_se</t>
  </si>
  <si>
    <t>trans_pdf</t>
  </si>
  <si>
    <t>trans_pdf_a</t>
  </si>
  <si>
    <t>trans_pdf_b</t>
  </si>
  <si>
    <t>trans_pdf_c</t>
  </si>
  <si>
    <t>Evergreen Forest</t>
  </si>
  <si>
    <t>Cropland</t>
  </si>
  <si>
    <t>DF</t>
  </si>
  <si>
    <t>Mountain Forest</t>
  </si>
  <si>
    <t>DG</t>
  </si>
  <si>
    <t>c_no</t>
  </si>
  <si>
    <t>c_period</t>
  </si>
  <si>
    <t>c_value</t>
  </si>
  <si>
    <t>c_se</t>
  </si>
  <si>
    <t>c_pdf</t>
  </si>
  <si>
    <t>c_pdf_a</t>
  </si>
  <si>
    <t>c_pdf_b</t>
  </si>
  <si>
    <t>c_pdf_c</t>
  </si>
  <si>
    <t>AGB</t>
  </si>
  <si>
    <t>RS</t>
  </si>
  <si>
    <t>DG_ratio</t>
  </si>
  <si>
    <t>beta</t>
  </si>
  <si>
    <t>Core interactions</t>
  </si>
  <si>
    <t>lu_initial</t>
  </si>
  <si>
    <t>lu_final</t>
  </si>
  <si>
    <t>redd_activity</t>
  </si>
  <si>
    <t>Degraded</t>
  </si>
  <si>
    <t>Evergreen Forest Degraded</t>
  </si>
  <si>
    <t>Mountain Forest Degraded</t>
  </si>
  <si>
    <t xml:space="preserve">Mountain Forest Degraded </t>
  </si>
  <si>
    <t>c_lu</t>
  </si>
  <si>
    <t>Mocaredd input workbook</t>
  </si>
  <si>
    <t>Requires at least this 4 tabs:</t>
  </si>
  <si>
    <t>setup: 
describes a few parameters to allow the tool to handle as many configurations as possible.
time: 
describes the different time periods used for building the reference and monitoring periods.
area: 
describes the areas of land use/land cover change that generate emissions and/or removals (i.a. Activity Data).
carbon: 
describes the carbon elements necessary to build Emission and Removal Factors associated with the land use changes.</t>
  </si>
  <si>
    <r>
      <t xml:space="preserve">1. The time period IDs in </t>
    </r>
    <r>
      <rPr>
        <b/>
        <sz val="10"/>
        <color rgb="FF000000"/>
        <rFont val="Arial"/>
        <family val="2"/>
        <scheme val="minor"/>
      </rPr>
      <t>time/period_no</t>
    </r>
    <r>
      <rPr>
        <sz val="10"/>
        <color rgb="FF000000"/>
        <rFont val="Arial"/>
        <family val="2"/>
        <scheme val="minor"/>
      </rPr>
      <t xml:space="preserve">(*) must match </t>
    </r>
    <r>
      <rPr>
        <b/>
        <sz val="10"/>
        <color rgb="FF000000"/>
        <rFont val="Arial"/>
        <family val="2"/>
        <scheme val="minor"/>
      </rPr>
      <t>area/trans_period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carbon/c_period</t>
    </r>
    <r>
      <rPr>
        <sz val="10"/>
        <color rgb="FF000000"/>
        <rFont val="Arial"/>
        <family val="2"/>
        <scheme val="minor"/>
      </rPr>
      <t xml:space="preserve">(*).
2. The land use names in </t>
    </r>
    <r>
      <rPr>
        <b/>
        <sz val="10"/>
        <color rgb="FF000000"/>
        <rFont val="Arial"/>
        <family val="2"/>
        <scheme val="minor"/>
      </rPr>
      <t>area/lu_initial</t>
    </r>
    <r>
      <rPr>
        <sz val="10"/>
        <color rgb="FF000000"/>
        <rFont val="Arial"/>
        <family val="2"/>
        <scheme val="minor"/>
      </rPr>
      <t xml:space="preserve">(*) and </t>
    </r>
    <r>
      <rPr>
        <b/>
        <sz val="10"/>
        <color rgb="FF000000"/>
        <rFont val="Arial"/>
        <family val="2"/>
        <scheme val="minor"/>
      </rPr>
      <t>area/lu_final</t>
    </r>
    <r>
      <rPr>
        <sz val="10"/>
        <color rgb="FF000000"/>
        <rFont val="Arial"/>
        <family val="2"/>
        <scheme val="minor"/>
      </rPr>
      <t>(*)</t>
    </r>
    <r>
      <rPr>
        <b/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"/>
        <family val="2"/>
        <scheme val="minor"/>
      </rPr>
      <t xml:space="preserve">must be the same as the land use names described in </t>
    </r>
    <r>
      <rPr>
        <b/>
        <sz val="10"/>
        <color rgb="FF000000"/>
        <rFont val="Arial"/>
        <family val="2"/>
        <scheme val="minor"/>
      </rPr>
      <t>carbon/c_lu</t>
    </r>
    <r>
      <rPr>
        <sz val="10"/>
        <color rgb="FF000000"/>
        <rFont val="Arial"/>
        <family val="2"/>
        <scheme val="minor"/>
      </rPr>
      <t xml:space="preserve">(*) to match activity data and emission factors
2. Carbon pools AGB and BGB (if not expressed as a root-to-shoot ratio) are either reported as tons of dry matter (DM) or of carbon (C). If dry matter, a carbon fraction must be added in </t>
    </r>
    <r>
      <rPr>
        <b/>
        <sz val="10"/>
        <color rgb="FF000000"/>
        <rFont val="Arial"/>
        <family val="2"/>
        <scheme val="minor"/>
      </rPr>
      <t>carbon</t>
    </r>
    <r>
      <rPr>
        <sz val="10"/>
        <color rgb="FF000000"/>
        <rFont val="Arial"/>
        <family val="2"/>
        <scheme val="minor"/>
      </rPr>
      <t xml:space="preserve"> with, if possible, a standard error so that random simulations with be generated for the carbon fraction (iPCC default: mean: 0.47, se: 0.0013).
3. Degraded land uses names must be the same as their intact equivalent with a consistent extension (for ex. "Evergreen Degraded" is the degraded land use of "Evergreen") and the extension should be noted in </t>
    </r>
    <r>
      <rPr>
        <b/>
        <sz val="10"/>
        <color rgb="FF000000"/>
        <rFont val="Arial"/>
        <family val="2"/>
        <scheme val="minor"/>
      </rPr>
      <t>setup/dg_ext</t>
    </r>
    <r>
      <rPr>
        <sz val="10"/>
        <color rgb="FF000000"/>
        <rFont val="Arial"/>
        <family val="2"/>
        <scheme val="minor"/>
      </rPr>
      <t>(*): "Degraded".
(*) In this paragraph xx/yy means TAB_NAME/COLUMN_NAME.</t>
    </r>
  </si>
  <si>
    <r>
      <t xml:space="preserve">Mocaredd is a web application generating Monte Carlo Simulations for REDD+ carbon accounting.
</t>
    </r>
    <r>
      <rPr>
        <sz val="9"/>
        <color rgb="FF000000"/>
        <rFont val="Arial (Body)"/>
      </rPr>
      <t xml:space="preserve">
Mocaredd reconstructs any carbon accounting calculation chain from the input data, then provides arithmetic means and simulations-based mean and uncertainty for REDD+ emissions and removals, and ultimately for emission reductions.</t>
    </r>
  </si>
  <si>
    <t>digits</t>
  </si>
  <si>
    <t>ratio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</si>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</sst>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 (Body)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rgb="FF000000"/>
      <name val="Arial (Body)"/>
    </font>
    <font>
      <sz val="9"/>
      <color rgb="FF000000"/>
      <name val="Arial (Body)"/>
    </font>
  </fonts>
  <fills count="8">
    <fill>
      <patternFill patternType="none"/>
    </fill>
    <fill>
      <patternFill patternType="gray125"/>
    </fill>
    <fill>
      <patternFill patternType="solid">
        <fgColor rgb="FFF28E85"/>
        <bgColor rgb="FFF28E85"/>
      </patternFill>
    </fill>
    <fill>
      <patternFill patternType="solid">
        <fgColor rgb="FFF6B3AE"/>
        <bgColor rgb="FFF6B3AE"/>
      </patternFill>
    </fill>
    <fill>
      <patternFill patternType="solid">
        <fgColor rgb="FFA6E3B6"/>
        <bgColor rgb="FFA6E3B6"/>
      </patternFill>
    </fill>
    <fill>
      <patternFill patternType="solid">
        <fgColor rgb="FFFEF1CC"/>
        <bgColor rgb="FFFEF1CC"/>
      </patternFill>
    </fill>
    <fill>
      <patternFill patternType="solid">
        <fgColor rgb="FFD9E6FC"/>
        <bgColor rgb="FFD9E6FC"/>
      </patternFill>
    </fill>
    <fill>
      <patternFill patternType="solid">
        <fgColor rgb="FFFEE1CC"/>
        <bgColor rgb="FFFEE1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6" fillId="0" borderId="2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3" fillId="5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1" fillId="7" borderId="1" xfId="0" applyFont="1" applyFill="1" applyBorder="1"/>
    <xf numFmtId="0" fontId="7" fillId="0" borderId="2" xfId="1" applyFont="1" applyAlignment="1">
      <alignment horizontal="left" vertical="top" wrapText="1"/>
    </xf>
    <xf numFmtId="0" fontId="6" fillId="0" borderId="2" xfId="1"/>
    <xf numFmtId="0" fontId="8" fillId="0" borderId="2" xfId="1" applyFont="1" applyAlignment="1">
      <alignment horizontal="left" vertical="top" wrapText="1"/>
    </xf>
    <xf numFmtId="0" fontId="6" fillId="0" borderId="2" xfId="1" applyAlignment="1">
      <alignment horizontal="left" vertical="top" wrapText="1"/>
    </xf>
    <xf numFmtId="0" fontId="6" fillId="0" borderId="2" xfId="1" applyAlignment="1">
      <alignment horizontal="left" vertical="top"/>
    </xf>
    <xf numFmtId="0" fontId="8" fillId="0" borderId="2" xfId="1" applyFont="1" applyAlignment="1">
      <alignment wrapText="1"/>
    </xf>
    <xf numFmtId="0" fontId="6" fillId="0" borderId="2" xfId="1" applyAlignment="1">
      <alignment wrapText="1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11" fillId="0" borderId="2" xfId="1" applyFont="1" applyAlignment="1">
      <alignment horizontal="left" vertical="top" wrapText="1"/>
    </xf>
    <xf numFmtId="0" fontId="6" fillId="0" borderId="0" xfId="0" applyFont="1"/>
    <xf numFmtId="0" fontId="3" fillId="5" borderId="2" xfId="0" applyFont="1" applyFill="1" applyBorder="1"/>
    <xf numFmtId="0" fontId="3" fillId="6" borderId="2" xfId="0" applyFont="1" applyFill="1" applyBorder="1"/>
    <xf numFmtId="0" fontId="3" fillId="7" borderId="2" xfId="0" applyFont="1" applyFill="1" applyBorder="1"/>
  </cellXfs>
  <cellStyles count="2">
    <cellStyle name="Normal" xfId="0" builtinId="0"/>
    <cellStyle name="Normal 2" xfId="1" xr:uid="{19AA1ED1-6DE9-F54E-8738-870F0E1685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355AE-3197-7348-98BC-2DF9070133EC}">
  <dimension ref="A1:A14"/>
  <sheetViews>
    <sheetView topLeftCell="A7" zoomScale="184" zoomScaleNormal="184" workbookViewId="0">
      <selection activeCell="A7" sqref="A1:XFD1048576"/>
    </sheetView>
  </sheetViews>
  <sheetFormatPr baseColWidth="10" defaultRowHeight="13" x14ac:dyDescent="0.15"/>
  <cols>
    <col min="1" max="1" width="90.6640625" style="17" customWidth="1"/>
    <col min="2" max="16384" width="10.83203125" style="12"/>
  </cols>
  <sheetData>
    <row r="1" spans="1:1" ht="17" x14ac:dyDescent="0.15">
      <c r="A1" s="21" t="s">
        <v>54</v>
      </c>
    </row>
    <row r="2" spans="1:1" ht="16" x14ac:dyDescent="0.15">
      <c r="A2" s="11"/>
    </row>
    <row r="3" spans="1:1" ht="73" x14ac:dyDescent="0.15">
      <c r="A3" s="11" t="s">
        <v>58</v>
      </c>
    </row>
    <row r="4" spans="1:1" ht="16" x14ac:dyDescent="0.15">
      <c r="A4" s="11"/>
    </row>
    <row r="5" spans="1:1" ht="14" x14ac:dyDescent="0.15">
      <c r="A5" s="13" t="s">
        <v>55</v>
      </c>
    </row>
    <row r="6" spans="1:1" ht="152" customHeight="1" x14ac:dyDescent="0.15">
      <c r="A6" s="14" t="s">
        <v>56</v>
      </c>
    </row>
    <row r="7" spans="1:1" x14ac:dyDescent="0.15">
      <c r="A7" s="15"/>
    </row>
    <row r="8" spans="1:1" ht="14" x14ac:dyDescent="0.15">
      <c r="A8" s="13" t="s">
        <v>45</v>
      </c>
    </row>
    <row r="9" spans="1:1" ht="178" customHeight="1" x14ac:dyDescent="0.15">
      <c r="A9" s="14" t="s">
        <v>57</v>
      </c>
    </row>
    <row r="10" spans="1:1" x14ac:dyDescent="0.15">
      <c r="A10" s="14"/>
    </row>
    <row r="11" spans="1:1" x14ac:dyDescent="0.15">
      <c r="A11" s="13"/>
    </row>
    <row r="12" spans="1:1" x14ac:dyDescent="0.15">
      <c r="A12" s="14"/>
    </row>
    <row r="13" spans="1:1" x14ac:dyDescent="0.15">
      <c r="A13" s="14"/>
    </row>
    <row r="14" spans="1:1" x14ac:dyDescent="0.15">
      <c r="A14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zoomScale="150" workbookViewId="0">
      <selection activeCell="B1" sqref="B1:B1048576"/>
    </sheetView>
  </sheetViews>
  <sheetFormatPr baseColWidth="10" defaultColWidth="12.6640625" defaultRowHeight="15" customHeight="1" x14ac:dyDescent="0.15"/>
  <cols>
    <col min="1" max="1" width="6.6640625" bestFit="1" customWidth="1"/>
    <col min="2" max="2" width="10.6640625" bestFit="1" customWidth="1"/>
    <col min="3" max="3" width="8.83203125" bestFit="1" customWidth="1"/>
    <col min="4" max="5" width="11" bestFit="1" customWidth="1"/>
    <col min="6" max="6" width="13.1640625" bestFit="1" customWidth="1"/>
    <col min="7" max="20" width="10.6640625" customWidth="1"/>
  </cols>
  <sheetData>
    <row r="1" spans="1:8" s="20" customFormat="1" ht="16" x14ac:dyDescent="0.2">
      <c r="A1" s="20" t="s">
        <v>1</v>
      </c>
      <c r="B1" s="20" t="s">
        <v>7</v>
      </c>
      <c r="C1" s="20" t="s">
        <v>4</v>
      </c>
      <c r="D1" s="20" t="s">
        <v>5</v>
      </c>
      <c r="E1" s="20" t="s">
        <v>6</v>
      </c>
      <c r="F1" s="20" t="s">
        <v>59</v>
      </c>
      <c r="G1" s="20" t="s">
        <v>2</v>
      </c>
      <c r="H1" s="20" t="s">
        <v>0</v>
      </c>
    </row>
    <row r="2" spans="1:8" ht="12.75" customHeight="1" x14ac:dyDescent="0.15">
      <c r="A2" s="2">
        <v>10000</v>
      </c>
      <c r="B2" s="1" t="s">
        <v>49</v>
      </c>
      <c r="C2" s="1" t="s">
        <v>10</v>
      </c>
      <c r="D2" s="2" t="b">
        <v>0</v>
      </c>
      <c r="E2" s="2">
        <v>0.9</v>
      </c>
      <c r="F2">
        <v>3</v>
      </c>
      <c r="G2" s="1">
        <v>1</v>
      </c>
      <c r="H2" s="2" t="b">
        <v>0</v>
      </c>
    </row>
    <row r="3" spans="1:8" ht="12.75" customHeight="1" x14ac:dyDescent="0.15"/>
    <row r="4" spans="1:8" ht="12.75" customHeight="1" x14ac:dyDescent="0.15"/>
    <row r="5" spans="1:8" ht="12.75" customHeight="1" x14ac:dyDescent="0.15"/>
    <row r="6" spans="1:8" ht="12.75" customHeight="1" x14ac:dyDescent="0.15"/>
    <row r="7" spans="1:8" ht="12.75" customHeight="1" x14ac:dyDescent="0.15"/>
    <row r="8" spans="1:8" ht="12.75" customHeight="1" x14ac:dyDescent="0.15"/>
    <row r="9" spans="1:8" ht="12.75" customHeight="1" x14ac:dyDescent="0.15"/>
    <row r="10" spans="1:8" ht="12.75" customHeight="1" x14ac:dyDescent="0.15"/>
    <row r="11" spans="1:8" ht="12.75" customHeight="1" x14ac:dyDescent="0.15"/>
    <row r="12" spans="1:8" ht="12.75" customHeight="1" x14ac:dyDescent="0.15"/>
    <row r="13" spans="1:8" ht="12.75" customHeight="1" x14ac:dyDescent="0.15"/>
    <row r="14" spans="1:8" ht="12.75" customHeight="1" x14ac:dyDescent="0.15"/>
    <row r="15" spans="1:8" ht="12.75" customHeight="1" x14ac:dyDescent="0.15"/>
    <row r="16" spans="1:8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zoomScale="137" workbookViewId="0">
      <selection activeCell="B6" sqref="B6"/>
    </sheetView>
  </sheetViews>
  <sheetFormatPr baseColWidth="10" defaultColWidth="12.6640625" defaultRowHeight="15" customHeight="1" x14ac:dyDescent="0.15"/>
  <cols>
    <col min="1" max="1" width="10.6640625" customWidth="1"/>
    <col min="2" max="2" width="11.1640625" bestFit="1" customWidth="1"/>
    <col min="3" max="3" width="10.1640625" bestFit="1" customWidth="1"/>
    <col min="4" max="4" width="12.5" bestFit="1" customWidth="1"/>
    <col min="5" max="26" width="10.6640625" customWidth="1"/>
  </cols>
  <sheetData>
    <row r="1" spans="1:4" s="20" customFormat="1" ht="16" x14ac:dyDescent="0.2">
      <c r="A1" s="20" t="s">
        <v>11</v>
      </c>
      <c r="B1" s="20" t="s">
        <v>12</v>
      </c>
      <c r="C1" s="20" t="s">
        <v>13</v>
      </c>
      <c r="D1" s="20" t="s">
        <v>14</v>
      </c>
    </row>
    <row r="2" spans="1:4" ht="12.75" customHeight="1" x14ac:dyDescent="0.15">
      <c r="A2" s="1" t="s">
        <v>15</v>
      </c>
      <c r="B2" s="1">
        <v>2016</v>
      </c>
      <c r="C2" s="1">
        <v>2020</v>
      </c>
      <c r="D2" s="1" t="s">
        <v>16</v>
      </c>
    </row>
    <row r="3" spans="1:4" ht="12.75" customHeight="1" x14ac:dyDescent="0.15">
      <c r="A3" s="1" t="s">
        <v>17</v>
      </c>
      <c r="B3" s="1">
        <v>2021</v>
      </c>
      <c r="C3" s="1">
        <v>2022</v>
      </c>
      <c r="D3" s="1" t="s">
        <v>18</v>
      </c>
    </row>
    <row r="4" spans="1:4" ht="12.75" customHeight="1" x14ac:dyDescent="0.15"/>
    <row r="5" spans="1:4" ht="12.75" customHeight="1" x14ac:dyDescent="0.15"/>
    <row r="6" spans="1:4" ht="12.75" customHeight="1" x14ac:dyDescent="0.15"/>
    <row r="7" spans="1:4" ht="12.75" customHeight="1" x14ac:dyDescent="0.15"/>
    <row r="8" spans="1:4" ht="12.75" customHeight="1" x14ac:dyDescent="0.15"/>
    <row r="9" spans="1:4" ht="12.75" customHeight="1" x14ac:dyDescent="0.15"/>
    <row r="10" spans="1:4" ht="12.75" customHeight="1" x14ac:dyDescent="0.15"/>
    <row r="11" spans="1:4" ht="12.75" customHeight="1" x14ac:dyDescent="0.15"/>
    <row r="12" spans="1:4" ht="12.75" customHeight="1" x14ac:dyDescent="0.15"/>
    <row r="13" spans="1:4" ht="12.75" customHeight="1" x14ac:dyDescent="0.15"/>
    <row r="14" spans="1:4" ht="12.75" customHeight="1" x14ac:dyDescent="0.15"/>
    <row r="15" spans="1:4" ht="12.75" customHeight="1" x14ac:dyDescent="0.15"/>
    <row r="16" spans="1:4" ht="12.75" customHeight="1" x14ac:dyDescent="0.15"/>
    <row r="17" ht="12.75" customHeight="1" x14ac:dyDescent="0.15"/>
    <row r="18" ht="12.75" customHeight="1" x14ac:dyDescent="0.15"/>
    <row r="19" ht="12.75" customHeight="1" x14ac:dyDescent="0.15"/>
    <row r="20" ht="12.75" customHeight="1" x14ac:dyDescent="0.15"/>
    <row r="21" ht="12.75" customHeight="1" x14ac:dyDescent="0.15"/>
    <row r="22" ht="12.75" customHeight="1" x14ac:dyDescent="0.15"/>
    <row r="23" ht="12.75" customHeight="1" x14ac:dyDescent="0.15"/>
    <row r="24" ht="12.75" customHeight="1" x14ac:dyDescent="0.15"/>
    <row r="25" ht="12.75" customHeight="1" x14ac:dyDescent="0.15"/>
    <row r="26" ht="12.75" customHeight="1" x14ac:dyDescent="0.15"/>
    <row r="27" ht="12.75" customHeight="1" x14ac:dyDescent="0.15"/>
    <row r="28" ht="12.75" customHeight="1" x14ac:dyDescent="0.15"/>
    <row r="29" ht="12.75" customHeight="1" x14ac:dyDescent="0.15"/>
    <row r="30" ht="12.75" customHeight="1" x14ac:dyDescent="0.15"/>
    <row r="31" ht="12.75" customHeight="1" x14ac:dyDescent="0.15"/>
    <row r="3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zoomScale="126" workbookViewId="0">
      <selection activeCell="C22" sqref="C22"/>
    </sheetView>
  </sheetViews>
  <sheetFormatPr baseColWidth="10" defaultColWidth="12.6640625" defaultRowHeight="15" customHeight="1" x14ac:dyDescent="0.15"/>
  <cols>
    <col min="1" max="1" width="9.6640625" bestFit="1" customWidth="1"/>
    <col min="2" max="2" width="13.33203125" bestFit="1" customWidth="1"/>
    <col min="3" max="4" width="23" bestFit="1" customWidth="1"/>
    <col min="5" max="5" width="11.6640625" bestFit="1" customWidth="1"/>
    <col min="6" max="6" width="9.6640625" bestFit="1" customWidth="1"/>
    <col min="7" max="7" width="10.33203125" bestFit="1" customWidth="1"/>
    <col min="11" max="11" width="13.6640625" bestFit="1" customWidth="1"/>
  </cols>
  <sheetData>
    <row r="1" spans="1:11" s="19" customFormat="1" ht="16" x14ac:dyDescent="0.2">
      <c r="A1" s="18" t="s">
        <v>19</v>
      </c>
      <c r="B1" s="18" t="s">
        <v>20</v>
      </c>
      <c r="C1" s="18" t="s">
        <v>46</v>
      </c>
      <c r="D1" s="18" t="s">
        <v>47</v>
      </c>
      <c r="E1" s="18" t="s">
        <v>22</v>
      </c>
      <c r="F1" s="18" t="s">
        <v>23</v>
      </c>
      <c r="G1" s="18" t="s">
        <v>24</v>
      </c>
      <c r="H1" s="18" t="s">
        <v>25</v>
      </c>
      <c r="I1" s="18" t="s">
        <v>26</v>
      </c>
      <c r="J1" s="18" t="s">
        <v>27</v>
      </c>
      <c r="K1" s="18" t="s">
        <v>48</v>
      </c>
    </row>
    <row r="2" spans="1:11" ht="15.75" customHeight="1" x14ac:dyDescent="0.15">
      <c r="A2" s="3">
        <v>1</v>
      </c>
      <c r="B2" s="3" t="s">
        <v>15</v>
      </c>
      <c r="C2" s="3" t="s">
        <v>28</v>
      </c>
      <c r="D2" s="3" t="s">
        <v>29</v>
      </c>
      <c r="E2" s="3">
        <v>22455</v>
      </c>
      <c r="F2" s="3">
        <v>7513</v>
      </c>
      <c r="G2" s="3" t="s">
        <v>9</v>
      </c>
      <c r="H2" s="3"/>
      <c r="I2" s="3"/>
      <c r="J2" s="3"/>
      <c r="K2" s="3" t="s">
        <v>30</v>
      </c>
    </row>
    <row r="3" spans="1:11" ht="15.75" customHeight="1" x14ac:dyDescent="0.15">
      <c r="A3" s="3">
        <v>2</v>
      </c>
      <c r="B3" s="3" t="s">
        <v>15</v>
      </c>
      <c r="C3" s="3" t="s">
        <v>31</v>
      </c>
      <c r="D3" s="3" t="s">
        <v>29</v>
      </c>
      <c r="E3" s="3">
        <v>11327</v>
      </c>
      <c r="F3" s="3">
        <v>3429</v>
      </c>
      <c r="G3" s="3" t="s">
        <v>9</v>
      </c>
      <c r="H3" s="3"/>
      <c r="I3" s="3"/>
      <c r="J3" s="3"/>
      <c r="K3" s="3" t="s">
        <v>30</v>
      </c>
    </row>
    <row r="4" spans="1:11" ht="15.75" customHeight="1" x14ac:dyDescent="0.15">
      <c r="A4" s="3">
        <v>3</v>
      </c>
      <c r="B4" s="4" t="s">
        <v>15</v>
      </c>
      <c r="C4" s="4" t="s">
        <v>50</v>
      </c>
      <c r="D4" s="4" t="s">
        <v>29</v>
      </c>
      <c r="E4" s="4">
        <v>55074</v>
      </c>
      <c r="F4" s="4">
        <v>16234</v>
      </c>
      <c r="G4" s="4" t="s">
        <v>9</v>
      </c>
      <c r="H4" s="4"/>
      <c r="I4" s="4"/>
      <c r="J4" s="4"/>
      <c r="K4" s="4" t="s">
        <v>30</v>
      </c>
    </row>
    <row r="5" spans="1:11" ht="15.75" customHeight="1" x14ac:dyDescent="0.15">
      <c r="A5" s="3">
        <v>4</v>
      </c>
      <c r="B5" s="4" t="s">
        <v>15</v>
      </c>
      <c r="C5" s="4" t="s">
        <v>51</v>
      </c>
      <c r="D5" s="4" t="s">
        <v>29</v>
      </c>
      <c r="E5" s="4">
        <v>16734</v>
      </c>
      <c r="F5" s="4">
        <v>4038</v>
      </c>
      <c r="G5" s="4" t="s">
        <v>9</v>
      </c>
      <c r="H5" s="4"/>
      <c r="I5" s="4"/>
      <c r="J5" s="4"/>
      <c r="K5" s="4" t="s">
        <v>30</v>
      </c>
    </row>
    <row r="6" spans="1:11" ht="15.75" customHeight="1" x14ac:dyDescent="0.15">
      <c r="A6" s="3">
        <v>5</v>
      </c>
      <c r="B6" s="5" t="s">
        <v>15</v>
      </c>
      <c r="C6" s="5" t="s">
        <v>28</v>
      </c>
      <c r="D6" s="5" t="s">
        <v>50</v>
      </c>
      <c r="E6" s="5">
        <v>316681</v>
      </c>
      <c r="F6" s="5">
        <v>27632</v>
      </c>
      <c r="G6" s="5" t="s">
        <v>9</v>
      </c>
      <c r="H6" s="5"/>
      <c r="I6" s="5"/>
      <c r="J6" s="5"/>
      <c r="K6" s="5" t="s">
        <v>32</v>
      </c>
    </row>
    <row r="7" spans="1:11" ht="15.75" customHeight="1" x14ac:dyDescent="0.15">
      <c r="A7" s="3">
        <v>6</v>
      </c>
      <c r="B7" s="5" t="s">
        <v>15</v>
      </c>
      <c r="C7" s="5" t="s">
        <v>31</v>
      </c>
      <c r="D7" s="5" t="s">
        <v>51</v>
      </c>
      <c r="E7" s="5">
        <v>22954</v>
      </c>
      <c r="F7" s="5">
        <v>2213</v>
      </c>
      <c r="G7" s="5" t="s">
        <v>9</v>
      </c>
      <c r="H7" s="5"/>
      <c r="I7" s="5"/>
      <c r="J7" s="5"/>
      <c r="K7" s="5" t="s">
        <v>32</v>
      </c>
    </row>
    <row r="8" spans="1:11" ht="15.75" customHeight="1" x14ac:dyDescent="0.15">
      <c r="A8" s="3">
        <v>7</v>
      </c>
      <c r="B8" s="3" t="s">
        <v>17</v>
      </c>
      <c r="C8" s="3" t="s">
        <v>28</v>
      </c>
      <c r="D8" s="3" t="s">
        <v>29</v>
      </c>
      <c r="E8" s="3">
        <v>2055</v>
      </c>
      <c r="F8" s="3">
        <v>512</v>
      </c>
      <c r="G8" s="3" t="s">
        <v>9</v>
      </c>
      <c r="H8" s="3"/>
      <c r="I8" s="3"/>
      <c r="J8" s="3"/>
      <c r="K8" s="3" t="s">
        <v>30</v>
      </c>
    </row>
    <row r="9" spans="1:11" ht="15.75" customHeight="1" x14ac:dyDescent="0.15">
      <c r="A9" s="3">
        <v>8</v>
      </c>
      <c r="B9" s="3" t="s">
        <v>17</v>
      </c>
      <c r="C9" s="3" t="s">
        <v>31</v>
      </c>
      <c r="D9" s="3" t="s">
        <v>29</v>
      </c>
      <c r="E9" s="3">
        <v>2107</v>
      </c>
      <c r="F9" s="3">
        <v>525</v>
      </c>
      <c r="G9" s="3" t="s">
        <v>9</v>
      </c>
      <c r="H9" s="3"/>
      <c r="I9" s="3"/>
      <c r="J9" s="3"/>
      <c r="K9" s="3" t="s">
        <v>30</v>
      </c>
    </row>
    <row r="10" spans="1:11" ht="15.75" customHeight="1" x14ac:dyDescent="0.15">
      <c r="A10" s="3">
        <v>9</v>
      </c>
      <c r="B10" s="4" t="s">
        <v>17</v>
      </c>
      <c r="C10" s="4" t="s">
        <v>50</v>
      </c>
      <c r="D10" s="4" t="s">
        <v>29</v>
      </c>
      <c r="E10" s="4">
        <v>6029</v>
      </c>
      <c r="F10" s="4">
        <v>1578</v>
      </c>
      <c r="G10" s="4" t="s">
        <v>9</v>
      </c>
      <c r="H10" s="4"/>
      <c r="I10" s="4"/>
      <c r="J10" s="4"/>
      <c r="K10" s="4" t="s">
        <v>30</v>
      </c>
    </row>
    <row r="11" spans="1:11" ht="15.75" customHeight="1" x14ac:dyDescent="0.15">
      <c r="A11" s="3">
        <v>10</v>
      </c>
      <c r="B11" s="4" t="s">
        <v>17</v>
      </c>
      <c r="C11" s="4" t="s">
        <v>51</v>
      </c>
      <c r="D11" s="4" t="s">
        <v>29</v>
      </c>
      <c r="E11" s="4">
        <v>6195</v>
      </c>
      <c r="F11" s="4">
        <v>1467</v>
      </c>
      <c r="G11" s="4" t="s">
        <v>9</v>
      </c>
      <c r="H11" s="4"/>
      <c r="I11" s="4"/>
      <c r="J11" s="4"/>
      <c r="K11" s="4" t="s">
        <v>30</v>
      </c>
    </row>
    <row r="12" spans="1:11" ht="15.75" customHeight="1" x14ac:dyDescent="0.15">
      <c r="A12" s="3">
        <v>11</v>
      </c>
      <c r="B12" s="5" t="s">
        <v>17</v>
      </c>
      <c r="C12" s="5" t="s">
        <v>28</v>
      </c>
      <c r="D12" s="5" t="s">
        <v>50</v>
      </c>
      <c r="E12" s="5">
        <v>44939</v>
      </c>
      <c r="F12" s="5">
        <v>3690</v>
      </c>
      <c r="G12" s="5" t="s">
        <v>9</v>
      </c>
      <c r="H12" s="5"/>
      <c r="I12" s="5"/>
      <c r="J12" s="5"/>
      <c r="K12" s="5" t="s">
        <v>32</v>
      </c>
    </row>
    <row r="13" spans="1:11" ht="15.75" customHeight="1" x14ac:dyDescent="0.15">
      <c r="A13" s="3">
        <v>12</v>
      </c>
      <c r="B13" s="5" t="s">
        <v>17</v>
      </c>
      <c r="C13" s="5" t="s">
        <v>31</v>
      </c>
      <c r="D13" s="5" t="s">
        <v>51</v>
      </c>
      <c r="E13" s="5">
        <v>5633</v>
      </c>
      <c r="F13" s="5">
        <v>511</v>
      </c>
      <c r="G13" s="5" t="s">
        <v>9</v>
      </c>
      <c r="H13" s="5"/>
      <c r="I13" s="5"/>
      <c r="J13" s="5"/>
      <c r="K13" s="5" t="s">
        <v>32</v>
      </c>
    </row>
    <row r="14" spans="1:11" ht="15.75" customHeight="1" x14ac:dyDescent="0.15"/>
    <row r="15" spans="1:11" ht="15.75" customHeight="1" x14ac:dyDescent="0.15"/>
    <row r="16" spans="1:11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9"/>
  <sheetViews>
    <sheetView tabSelected="1" zoomScale="140" workbookViewId="0">
      <selection activeCell="D14" sqref="D14"/>
    </sheetView>
  </sheetViews>
  <sheetFormatPr baseColWidth="10" defaultColWidth="12.6640625" defaultRowHeight="13" x14ac:dyDescent="0.15"/>
  <cols>
    <col min="1" max="1" width="5.83203125" customWidth="1"/>
    <col min="2" max="2" width="9.5" bestFit="1" customWidth="1"/>
    <col min="3" max="3" width="11.1640625" bestFit="1" customWidth="1"/>
    <col min="4" max="4" width="23" bestFit="1" customWidth="1"/>
    <col min="5" max="5" width="9.33203125" customWidth="1"/>
    <col min="6" max="6" width="8.6640625" customWidth="1"/>
    <col min="7" max="7" width="7.1640625" bestFit="1" customWidth="1"/>
    <col min="8" max="8" width="6.5" customWidth="1"/>
    <col min="9" max="11" width="8.83203125" customWidth="1"/>
  </cols>
  <sheetData>
    <row r="1" spans="1:11" ht="16" x14ac:dyDescent="0.2">
      <c r="A1" s="6" t="s">
        <v>33</v>
      </c>
      <c r="B1" s="6" t="s">
        <v>34</v>
      </c>
      <c r="C1" s="6" t="s">
        <v>53</v>
      </c>
      <c r="D1" s="6" t="s">
        <v>21</v>
      </c>
      <c r="E1" s="6" t="s">
        <v>3</v>
      </c>
      <c r="F1" s="6" t="s">
        <v>35</v>
      </c>
      <c r="G1" s="6" t="s">
        <v>36</v>
      </c>
      <c r="H1" s="6" t="s">
        <v>37</v>
      </c>
      <c r="I1" s="6" t="s">
        <v>38</v>
      </c>
      <c r="J1" s="6" t="s">
        <v>39</v>
      </c>
      <c r="K1" s="6" t="s">
        <v>40</v>
      </c>
    </row>
    <row r="2" spans="1:11" x14ac:dyDescent="0.15">
      <c r="A2" s="7">
        <v>1</v>
      </c>
      <c r="B2" s="7" t="s">
        <v>10</v>
      </c>
      <c r="C2" s="7" t="s">
        <v>28</v>
      </c>
      <c r="D2" s="7" t="s">
        <v>41</v>
      </c>
      <c r="E2" s="23" t="s">
        <v>8</v>
      </c>
      <c r="F2" s="7">
        <v>274.959</v>
      </c>
      <c r="G2" s="7">
        <v>71.765000000000001</v>
      </c>
      <c r="H2" s="7" t="s">
        <v>9</v>
      </c>
      <c r="I2" s="7"/>
      <c r="J2" s="7"/>
      <c r="K2" s="7"/>
    </row>
    <row r="3" spans="1:11" x14ac:dyDescent="0.15">
      <c r="A3" s="7">
        <v>2</v>
      </c>
      <c r="B3" s="7" t="s">
        <v>10</v>
      </c>
      <c r="C3" s="7" t="s">
        <v>31</v>
      </c>
      <c r="D3" s="7" t="s">
        <v>41</v>
      </c>
      <c r="E3" s="23" t="s">
        <v>8</v>
      </c>
      <c r="F3" s="7">
        <v>195.58000000000004</v>
      </c>
      <c r="G3" s="7">
        <v>48.006000000000007</v>
      </c>
      <c r="H3" s="7" t="s">
        <v>9</v>
      </c>
      <c r="I3" s="7"/>
      <c r="J3" s="7"/>
      <c r="K3" s="7"/>
    </row>
    <row r="4" spans="1:11" x14ac:dyDescent="0.15">
      <c r="A4" s="7">
        <v>3</v>
      </c>
      <c r="B4" s="8" t="s">
        <v>10</v>
      </c>
      <c r="C4" s="8" t="s">
        <v>28</v>
      </c>
      <c r="D4" s="8" t="s">
        <v>42</v>
      </c>
      <c r="E4" s="24" t="s">
        <v>60</v>
      </c>
      <c r="F4" s="8">
        <v>0.33300000000000002</v>
      </c>
      <c r="G4" s="8">
        <v>3.0800000000000004E-2</v>
      </c>
      <c r="H4" s="8" t="s">
        <v>9</v>
      </c>
      <c r="I4" s="8"/>
      <c r="J4" s="8"/>
      <c r="K4" s="8"/>
    </row>
    <row r="5" spans="1:11" x14ac:dyDescent="0.15">
      <c r="A5" s="7">
        <v>4</v>
      </c>
      <c r="B5" s="8" t="s">
        <v>10</v>
      </c>
      <c r="C5" s="8" t="s">
        <v>31</v>
      </c>
      <c r="D5" s="8" t="s">
        <v>42</v>
      </c>
      <c r="E5" s="24" t="s">
        <v>60</v>
      </c>
      <c r="F5" s="8">
        <v>0.40700000000000003</v>
      </c>
      <c r="G5" s="8">
        <v>3.0800000000000004E-2</v>
      </c>
      <c r="H5" s="8" t="s">
        <v>9</v>
      </c>
      <c r="I5" s="8"/>
      <c r="J5" s="8"/>
      <c r="K5" s="8"/>
    </row>
    <row r="6" spans="1:11" x14ac:dyDescent="0.15">
      <c r="A6" s="7">
        <v>5</v>
      </c>
      <c r="B6" s="7" t="s">
        <v>10</v>
      </c>
      <c r="C6" s="7" t="s">
        <v>50</v>
      </c>
      <c r="D6" s="7" t="s">
        <v>43</v>
      </c>
      <c r="E6" s="23" t="s">
        <v>60</v>
      </c>
      <c r="F6" s="7">
        <v>0.72</v>
      </c>
      <c r="G6" s="7">
        <v>0.16200000000000001</v>
      </c>
      <c r="H6" s="7" t="s">
        <v>44</v>
      </c>
      <c r="I6" s="7">
        <f t="shared" ref="I6:I7" si="0">ROUND((F6*(1-F6)/(G6*G6)-1)*F6,3)</f>
        <v>4.8109999999999999</v>
      </c>
      <c r="J6" s="7">
        <f t="shared" ref="J6:J7" si="1">ROUND((F6*(1-F6)/(G6*G6)-1)*(1-F6),3)</f>
        <v>1.871</v>
      </c>
      <c r="K6" s="7"/>
    </row>
    <row r="7" spans="1:11" x14ac:dyDescent="0.15">
      <c r="A7" s="7">
        <v>6</v>
      </c>
      <c r="B7" s="7" t="s">
        <v>10</v>
      </c>
      <c r="C7" s="7" t="s">
        <v>52</v>
      </c>
      <c r="D7" s="7" t="s">
        <v>43</v>
      </c>
      <c r="E7" s="23" t="s">
        <v>60</v>
      </c>
      <c r="F7" s="7">
        <v>0.72</v>
      </c>
      <c r="G7" s="7">
        <v>0.20699999999999999</v>
      </c>
      <c r="H7" s="7" t="s">
        <v>44</v>
      </c>
      <c r="I7" s="7">
        <f t="shared" si="0"/>
        <v>2.6680000000000001</v>
      </c>
      <c r="J7" s="7">
        <f t="shared" si="1"/>
        <v>1.0369999999999999</v>
      </c>
      <c r="K7" s="7"/>
    </row>
    <row r="8" spans="1:11" x14ac:dyDescent="0.15">
      <c r="A8" s="7">
        <v>7</v>
      </c>
      <c r="B8" s="9" t="s">
        <v>10</v>
      </c>
      <c r="C8" s="9" t="s">
        <v>29</v>
      </c>
      <c r="D8" s="9" t="s">
        <v>10</v>
      </c>
      <c r="E8" s="25" t="s">
        <v>61</v>
      </c>
      <c r="F8" s="9">
        <v>0</v>
      </c>
      <c r="G8" s="9">
        <v>0</v>
      </c>
      <c r="H8" s="9" t="s">
        <v>9</v>
      </c>
      <c r="I8" s="9"/>
      <c r="J8" s="9"/>
      <c r="K8" s="10"/>
    </row>
    <row r="9" spans="1:11" x14ac:dyDescent="0.15">
      <c r="A9" s="7"/>
      <c r="B9" s="22"/>
      <c r="C9" s="22"/>
      <c r="D9" s="22"/>
      <c r="E9" s="22"/>
      <c r="F9" s="1"/>
      <c r="G9" s="1"/>
      <c r="H9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setup</vt:lpstr>
      <vt:lpstr>time</vt:lpstr>
      <vt:lpstr>area</vt:lpstr>
      <vt:lpstr>carbon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Sola, Gael (NFOM)</cp:lastModifiedBy>
  <dcterms:created xsi:type="dcterms:W3CDTF">2024-12-16T14:11:21Z</dcterms:created>
  <dcterms:modified xsi:type="dcterms:W3CDTF">2026-04-15T17:42:50Z</dcterms:modified>
</cp:coreProperties>
</file>