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gaelsola/code/mocaredd.dev2/inst/extdata/"/>
    </mc:Choice>
  </mc:AlternateContent>
  <xr:revisionPtr revIDLastSave="0" documentId="13_ncr:1_{D0F2CB1C-8A25-FB43-B6AC-C35D258614D1}" xr6:coauthVersionLast="47" xr6:coauthVersionMax="47" xr10:uidLastSave="{00000000-0000-0000-0000-000000000000}"/>
  <bookViews>
    <workbookView xWindow="-28980" yWindow="9820" windowWidth="28980" windowHeight="18980" activeTab="3" xr2:uid="{00000000-000D-0000-FFFF-FFFF00000000}"/>
  </bookViews>
  <sheets>
    <sheet name="Instructions" sheetId="11" r:id="rId1"/>
    <sheet name="user_input_details" sheetId="1" r:id="rId2"/>
    <sheet name="setup" sheetId="2" r:id="rId3"/>
    <sheet name="time" sheetId="3" r:id="rId4"/>
    <sheet name="area" sheetId="4" r:id="rId5"/>
    <sheet name="carbon" sheetId="5" r:id="rId6"/>
    <sheet name="LU CLASS" sheetId="8" r:id="rId7"/>
  </sheets>
  <definedNames>
    <definedName name="_xlnm._FilterDatabase" localSheetId="4" hidden="1">area!$A$1:$K$74</definedName>
    <definedName name="_xlnm._FilterDatabase" localSheetId="5" hidden="1">carbon!$A$1:$K$35</definedName>
    <definedName name="ci_alpha">#REF!</definedName>
    <definedName name="conf_level">#REF!</definedName>
    <definedName name="n_iter">#REF!</definedName>
    <definedName name="year_mon">#REF!</definedName>
    <definedName name="year_ref">#REF!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3" i="5" l="1"/>
  <c r="L4" i="5"/>
  <c r="L5" i="5"/>
  <c r="L6" i="5"/>
  <c r="L7" i="5"/>
  <c r="L8" i="5"/>
  <c r="L9" i="5"/>
  <c r="L10" i="5"/>
  <c r="L11" i="5"/>
  <c r="L12" i="5"/>
  <c r="L13" i="5"/>
  <c r="L14" i="5"/>
  <c r="L15" i="5"/>
  <c r="L16" i="5"/>
  <c r="L17" i="5"/>
  <c r="L18" i="5"/>
  <c r="L19" i="5"/>
  <c r="L20" i="5"/>
  <c r="L21" i="5"/>
  <c r="L22" i="5"/>
  <c r="L23" i="5"/>
  <c r="L24" i="5"/>
  <c r="L25" i="5"/>
  <c r="L26" i="5"/>
  <c r="L27" i="5"/>
  <c r="L28" i="5"/>
  <c r="L29" i="5"/>
  <c r="L30" i="5"/>
  <c r="L31" i="5"/>
  <c r="L32" i="5"/>
  <c r="L33" i="5"/>
  <c r="L34" i="5"/>
  <c r="L35" i="5"/>
  <c r="L2" i="5"/>
  <c r="E26" i="8"/>
  <c r="D26" i="8"/>
  <c r="M2" i="4"/>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2" i="4"/>
  <c r="E3" i="8"/>
  <c r="E4" i="8"/>
  <c r="E5" i="8"/>
  <c r="E6" i="8"/>
  <c r="E7" i="8"/>
  <c r="E8" i="8"/>
  <c r="E9" i="8"/>
  <c r="E10" i="8"/>
  <c r="E11" i="8"/>
  <c r="E12" i="8"/>
  <c r="E13" i="8"/>
  <c r="E14" i="8"/>
  <c r="E15" i="8"/>
  <c r="E16" i="8"/>
  <c r="E17" i="8"/>
  <c r="E18" i="8"/>
  <c r="E19" i="8"/>
  <c r="E20" i="8"/>
  <c r="E21" i="8"/>
  <c r="E22" i="8"/>
  <c r="E23" i="8"/>
  <c r="E24" i="8"/>
  <c r="E25" i="8"/>
  <c r="D3" i="8"/>
  <c r="D4" i="8"/>
  <c r="D5" i="8"/>
  <c r="D6" i="8"/>
  <c r="D7" i="8"/>
  <c r="D8" i="8"/>
  <c r="D9" i="8"/>
  <c r="D10" i="8"/>
  <c r="D11" i="8"/>
  <c r="D12" i="8"/>
  <c r="D13" i="8"/>
  <c r="D14" i="8"/>
  <c r="D15" i="8"/>
  <c r="D16" i="8"/>
  <c r="D17" i="8"/>
  <c r="D18" i="8"/>
  <c r="D19" i="8"/>
  <c r="D20" i="8"/>
  <c r="D21" i="8"/>
  <c r="D22" i="8"/>
  <c r="D23" i="8"/>
  <c r="D24" i="8"/>
  <c r="D25" i="8"/>
  <c r="D2" i="8"/>
  <c r="E2" i="8"/>
  <c r="F17" i="5"/>
  <c r="F22" i="5"/>
  <c r="F21" i="5"/>
  <c r="F20" i="5"/>
  <c r="F18" i="5"/>
  <c r="F19" i="5"/>
  <c r="I17" i="5" l="1"/>
  <c r="J17" i="5"/>
  <c r="J18" i="5"/>
  <c r="I18" i="5"/>
  <c r="I20" i="5" l="1"/>
  <c r="J20" i="5"/>
  <c r="I21" i="5"/>
  <c r="J21" i="5"/>
  <c r="I22" i="5"/>
  <c r="J22" i="5"/>
  <c r="J19" i="5"/>
  <c r="I19" i="5"/>
</calcChain>
</file>

<file path=xl/sharedStrings.xml><?xml version="1.0" encoding="utf-8"?>
<sst xmlns="http://schemas.openxmlformats.org/spreadsheetml/2006/main" count="680" uniqueCount="132">
  <si>
    <t>This workbook acts as a template for {mocaredd} the Monte Carlo simulations tool for REDD+ uncertainty analysis</t>
  </si>
  <si>
    <t>Users can build as many tabs as desired but need the 4 building blocks to process a REDD+ carbon accouting and the asosciated incertainty:</t>
  </si>
  <si>
    <t xml:space="preserve">user_inputs: 
describes a few parameters to allow the tool to handle as many configurations as possible.
time_periods: 
describes the diiferent time periods used for building the reference period and the monitoring period(s).
AD_lu_transitions: 
describes the areas of land use/land cover change that generate emissions and or removals.
c_stocks: 
describes the carbon elements necessary to build emission and removal factors associated with the land use transitions </t>
  </si>
  <si>
    <t>Core interactions</t>
  </si>
  <si>
    <t>1. The land use IDs entered in the tab "AD_lu_transitions" (lu_initial_id" and "lu_final_id") must be the same as the land use IDs described in "c_stocks" to match activity data and emission factors
2.  Carbon pools AGB and BGB (if not expressed as a root-to-shoot ratio) are either reported as tons of dry matter (DM) or of carbon. If dry matter, a carbon fraction must be entered in "user_inputs" with, if possible, a standard error so that random simulations with be generated for the caron fraction.
3. Degraded land uses must be coded with the same ID as their intact equivalent with a consistent extension (for ex. "ev_deg" is the degraded land use of "ev") and the extension should be noted in the field "dg_ext"of the tab "user_inputs".</t>
  </si>
  <si>
    <t>How is the data used by {mocaredd}</t>
  </si>
  <si>
    <t>Upon uploading the data, the app runs 4 processes: (1) check the data to ensure it allows to construct emission factors matching the activity data and generate emission reductions, (2) build the carbon accounting calculations with arithmetic means to give a first idea of the volume of emission reductions, (3) run monte carlo simulations and provide simulation-based emission reductions for the monitoring period(s) desired with their aggregated uncertainty level and (4) turn off the variability of part of the input data to determine their contribution to the overall uncertainty (sensitivity analysis).</t>
  </si>
  <si>
    <t>Note</t>
  </si>
  <si>
    <t xml:space="preserve">For the sake of comparability, all calculations related to emission factors are rounded to 5 digits and all calculations related to activity data and emissions </t>
  </si>
  <si>
    <t>input_name</t>
  </si>
  <si>
    <t>input_description</t>
  </si>
  <si>
    <t>trunc_pdf</t>
  </si>
  <si>
    <t>Use truncated distributions to avoid negative values were illogical (TRUE or FALSE)</t>
  </si>
  <si>
    <t>n_iter</t>
  </si>
  <si>
    <t>How many simulations (Default 10,000)</t>
  </si>
  <si>
    <t>ran_seed</t>
  </si>
  <si>
    <t>Use a seed to reproduce random simulations (recommend setting to NULL the first time)</t>
  </si>
  <si>
    <t>c_unit</t>
  </si>
  <si>
    <t>What is the unit of AGB and BGB if included (DM for dry matter or C for carbon)</t>
  </si>
  <si>
    <t>c_fraction</t>
  </si>
  <si>
    <t xml:space="preserve">Carbon fraction value, mandatory if c_unit is "DM" </t>
  </si>
  <si>
    <t>c_fraction_se</t>
  </si>
  <si>
    <t xml:space="preserve">Carbon fraction standard error, mandatory if c_unit is "DM" </t>
  </si>
  <si>
    <t>c_fraction_pdf</t>
  </si>
  <si>
    <t xml:space="preserve">Carbon fraction PDF, mandatory if c_unit is "DM" </t>
  </si>
  <si>
    <t>dg_ext</t>
  </si>
  <si>
    <t>extension for degradation land use (ex. "_deg") for the code to identify degradaed LU and their corresponding intact class</t>
  </si>
  <si>
    <t>dg_pool</t>
  </si>
  <si>
    <t>If degradation is a ratio of intact forest Cstock, list of pools separated by coma. Any combination of AGB, BGB, DW, LI, SOC or NA if not applicable. Note: the pools not listed in dg_pool will be excluded when calculating the initial vs final Cstocks</t>
  </si>
  <si>
    <t>ad_annual</t>
  </si>
  <si>
    <t>Is AD reported in ha/year or in ha (TRUE or FALSE resp.)</t>
  </si>
  <si>
    <t>conf_level</t>
  </si>
  <si>
    <t>Confidence level (1 - alpha) between 0 and 1</t>
  </si>
  <si>
    <t>DM</t>
  </si>
  <si>
    <t>normal</t>
  </si>
  <si>
    <t>ALL</t>
  </si>
  <si>
    <t>period_no</t>
  </si>
  <si>
    <t>year_start</t>
  </si>
  <si>
    <t>year_end</t>
  </si>
  <si>
    <t>period_type</t>
  </si>
  <si>
    <t>T1</t>
  </si>
  <si>
    <t>REF</t>
  </si>
  <si>
    <t>T2</t>
  </si>
  <si>
    <t>T3</t>
  </si>
  <si>
    <t>T4</t>
  </si>
  <si>
    <t>T5</t>
  </si>
  <si>
    <t>T6</t>
  </si>
  <si>
    <t>T7</t>
  </si>
  <si>
    <t>MON2</t>
  </si>
  <si>
    <t>T8</t>
  </si>
  <si>
    <t>trans_no</t>
  </si>
  <si>
    <t>trans_period</t>
  </si>
  <si>
    <t>trans_area</t>
  </si>
  <si>
    <t>trans_se</t>
  </si>
  <si>
    <t>trans_pdf</t>
  </si>
  <si>
    <t>trans_pdf_a</t>
  </si>
  <si>
    <t>trans_pdf_b</t>
  </si>
  <si>
    <t>trans_pdf_c</t>
  </si>
  <si>
    <t>lu_initial</t>
  </si>
  <si>
    <t>lu_final</t>
  </si>
  <si>
    <t>redd_activity</t>
  </si>
  <si>
    <t>THF</t>
  </si>
  <si>
    <t>GL</t>
  </si>
  <si>
    <t>DF</t>
  </si>
  <si>
    <t>WD</t>
  </si>
  <si>
    <t>FPc</t>
  </si>
  <si>
    <t>CP_a</t>
  </si>
  <si>
    <t>FPnc</t>
  </si>
  <si>
    <t>CP_p</t>
  </si>
  <si>
    <t>THF_log</t>
  </si>
  <si>
    <t>THF_log_deg</t>
  </si>
  <si>
    <t>DG</t>
  </si>
  <si>
    <t>WD_log</t>
  </si>
  <si>
    <t>WD_log_deg</t>
  </si>
  <si>
    <t>WD_charc</t>
  </si>
  <si>
    <t>WD_charc_deg</t>
  </si>
  <si>
    <t>WD_other</t>
  </si>
  <si>
    <t>WD_other_deg</t>
  </si>
  <si>
    <t>WD_fire</t>
  </si>
  <si>
    <t>WD_fire_deg</t>
  </si>
  <si>
    <t>THF_otha</t>
  </si>
  <si>
    <t>THF_otha_deg</t>
  </si>
  <si>
    <t>Set</t>
  </si>
  <si>
    <t>c_no</t>
  </si>
  <si>
    <t>c_period</t>
  </si>
  <si>
    <t>c_element</t>
  </si>
  <si>
    <t>c_value</t>
  </si>
  <si>
    <t>c_se</t>
  </si>
  <si>
    <t>c_pdf</t>
  </si>
  <si>
    <t>c_pdf_a</t>
  </si>
  <si>
    <t>c_pdf_b</t>
  </si>
  <si>
    <t>c_pdf_c</t>
  </si>
  <si>
    <t>AGB</t>
  </si>
  <si>
    <t>RS</t>
  </si>
  <si>
    <t>DG_ratio</t>
  </si>
  <si>
    <t>beta</t>
  </si>
  <si>
    <t>Plantations commercial</t>
  </si>
  <si>
    <t>Plantations non commercial</t>
  </si>
  <si>
    <t>Tropical High Forest</t>
  </si>
  <si>
    <t>Woodlands</t>
  </si>
  <si>
    <t>Tropical High Forest Degraded</t>
  </si>
  <si>
    <t>WD_deg</t>
  </si>
  <si>
    <t>Woodlands_Degraded</t>
  </si>
  <si>
    <t>NF</t>
  </si>
  <si>
    <t>Non Forest</t>
  </si>
  <si>
    <t>CP</t>
  </si>
  <si>
    <t>Cropland</t>
  </si>
  <si>
    <t>Grassland</t>
  </si>
  <si>
    <t>Settlement</t>
  </si>
  <si>
    <t>Woodlands_Degraded_by_fire</t>
  </si>
  <si>
    <t>Woodlands_Degraded_by_logging</t>
  </si>
  <si>
    <t>Woodlands_Degraded_by_charcoal</t>
  </si>
  <si>
    <t>Woodlands_Degraded_by_other</t>
  </si>
  <si>
    <t>Cropland_perennial</t>
  </si>
  <si>
    <t>Cropland_annual</t>
  </si>
  <si>
    <t>Tropical High Forest Degraded by other</t>
  </si>
  <si>
    <t>Tropical High Forest Degraded by logging</t>
  </si>
  <si>
    <t>NA</t>
  </si>
  <si>
    <t>THF_deg</t>
  </si>
  <si>
    <t>Code</t>
  </si>
  <si>
    <t>Label</t>
  </si>
  <si>
    <t>NumCode</t>
  </si>
  <si>
    <t>Num</t>
  </si>
  <si>
    <t>NumLabel</t>
  </si>
  <si>
    <t>c_lu</t>
  </si>
  <si>
    <t>C</t>
  </si>
  <si>
    <t>CF</t>
  </si>
  <si>
    <t>digits</t>
  </si>
  <si>
    <t>"_deg"</t>
  </si>
  <si>
    <t>lu_init_label</t>
  </si>
  <si>
    <t>lu_final_label</t>
  </si>
  <si>
    <t>c_lu_label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</si>
</sst>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 #,##0.00_-;_-* &quot;-&quot;??_-;_-@_-"/>
    <numFmt numFmtId="165" formatCode="0.0"/>
  </numFmts>
  <fonts count="15" x14ac:knownFonts="1">
    <font>
      <sz val="10"/>
      <color rgb="FF000000"/>
      <name val="Arial"/>
      <charset val="134"/>
      <scheme val="minor"/>
    </font>
    <font>
      <b/>
      <sz val="12"/>
      <color theme="1"/>
      <name val="Arial"/>
      <family val="2"/>
    </font>
    <font>
      <sz val="10"/>
      <color theme="1"/>
      <name val="Arial"/>
      <family val="2"/>
    </font>
    <font>
      <sz val="10"/>
      <color rgb="FF000000"/>
      <name val="Arial"/>
      <family val="2"/>
    </font>
    <font>
      <sz val="12"/>
      <color rgb="FF000000"/>
      <name val="Arial"/>
      <family val="2"/>
      <scheme val="minor"/>
    </font>
    <font>
      <b/>
      <sz val="12"/>
      <color theme="1"/>
      <name val="Arial"/>
      <family val="2"/>
      <scheme val="minor"/>
    </font>
    <font>
      <b/>
      <sz val="12"/>
      <color rgb="FF000000"/>
      <name val="Arial"/>
      <family val="2"/>
      <scheme val="minor"/>
    </font>
    <font>
      <sz val="10"/>
      <color theme="1"/>
      <name val="Arial"/>
      <family val="2"/>
      <scheme val="minor"/>
    </font>
    <font>
      <sz val="10"/>
      <color rgb="FF000000"/>
      <name val="Arial"/>
      <family val="2"/>
      <scheme val="minor"/>
    </font>
    <font>
      <sz val="11"/>
      <color theme="1"/>
      <name val="Arial"/>
      <family val="2"/>
      <scheme val="minor"/>
    </font>
    <font>
      <sz val="8"/>
      <name val="Arial"/>
      <family val="2"/>
      <scheme val="minor"/>
    </font>
    <font>
      <b/>
      <sz val="10"/>
      <name val="Arial"/>
      <family val="2"/>
      <scheme val="minor"/>
    </font>
    <font>
      <sz val="12"/>
      <color rgb="FF000000"/>
      <name val="Arial (Body)"/>
    </font>
    <font>
      <b/>
      <sz val="10"/>
      <color rgb="FF000000"/>
      <name val="Arial"/>
      <family val="2"/>
    </font>
    <font>
      <b/>
      <sz val="10"/>
      <color rgb="FF000000"/>
      <name val="Arial"/>
      <family val="2"/>
      <scheme val="minor"/>
    </font>
  </fonts>
  <fills count="6">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theme="9" tint="0.79998168889431442"/>
        <bgColor indexed="64"/>
      </patternFill>
    </fill>
  </fills>
  <borders count="1">
    <border>
      <left/>
      <right/>
      <top/>
      <bottom/>
      <diagonal/>
    </border>
  </borders>
  <cellStyleXfs count="3">
    <xf numFmtId="0" fontId="0" fillId="0" borderId="0"/>
    <xf numFmtId="164" fontId="9" fillId="0" borderId="0" applyFont="0" applyFill="0" applyBorder="0" applyAlignment="0" applyProtection="0">
      <alignment vertical="center"/>
    </xf>
    <xf numFmtId="0" fontId="8" fillId="0" borderId="0"/>
  </cellStyleXfs>
  <cellXfs count="36">
    <xf numFmtId="0" fontId="0" fillId="0" borderId="0" xfId="0"/>
    <xf numFmtId="0" fontId="4" fillId="0" borderId="0" xfId="0" applyFont="1"/>
    <xf numFmtId="0" fontId="6" fillId="0" borderId="0" xfId="0" applyFont="1"/>
    <xf numFmtId="0" fontId="3" fillId="0" borderId="0" xfId="0" applyFont="1"/>
    <xf numFmtId="0" fontId="7" fillId="0" borderId="0" xfId="0" applyFont="1"/>
    <xf numFmtId="0" fontId="8" fillId="0" borderId="0" xfId="0" applyFont="1"/>
    <xf numFmtId="0" fontId="8" fillId="0" borderId="0" xfId="0" applyFont="1" applyAlignment="1">
      <alignment wrapText="1"/>
    </xf>
    <xf numFmtId="0" fontId="0" fillId="3" borderId="0" xfId="0" applyFill="1"/>
    <xf numFmtId="0" fontId="11" fillId="4" borderId="0" xfId="0" applyFont="1" applyFill="1"/>
    <xf numFmtId="0" fontId="11" fillId="2" borderId="0" xfId="0" applyFont="1" applyFill="1"/>
    <xf numFmtId="0" fontId="12" fillId="0" borderId="0" xfId="0" applyFont="1" applyAlignment="1">
      <alignment horizontal="left" vertical="top" wrapText="1"/>
    </xf>
    <xf numFmtId="0" fontId="13" fillId="0" borderId="0" xfId="0" applyFont="1" applyAlignment="1">
      <alignment horizontal="left" vertical="top" wrapText="1"/>
    </xf>
    <xf numFmtId="0" fontId="3" fillId="0" borderId="0" xfId="0" applyFont="1" applyAlignment="1">
      <alignment horizontal="left" vertical="top" wrapText="1"/>
    </xf>
    <xf numFmtId="0" fontId="3" fillId="0" borderId="0" xfId="0" applyFont="1" applyAlignment="1">
      <alignment horizontal="left" vertical="top"/>
    </xf>
    <xf numFmtId="0" fontId="13" fillId="0" borderId="0" xfId="0" applyFont="1" applyAlignment="1">
      <alignment wrapText="1"/>
    </xf>
    <xf numFmtId="0" fontId="3" fillId="0" borderId="0" xfId="0" applyFont="1" applyAlignment="1">
      <alignment wrapText="1"/>
    </xf>
    <xf numFmtId="0" fontId="5" fillId="0" borderId="0" xfId="0" applyFont="1"/>
    <xf numFmtId="0" fontId="2" fillId="3" borderId="0" xfId="0" applyFont="1" applyFill="1"/>
    <xf numFmtId="2" fontId="0" fillId="3" borderId="0" xfId="0" applyNumberFormat="1" applyFill="1"/>
    <xf numFmtId="165" fontId="0" fillId="3" borderId="0" xfId="0" applyNumberFormat="1" applyFill="1"/>
    <xf numFmtId="2" fontId="0" fillId="3" borderId="0" xfId="1" applyNumberFormat="1" applyFont="1" applyFill="1" applyAlignment="1"/>
    <xf numFmtId="165" fontId="0" fillId="3" borderId="0" xfId="1" applyNumberFormat="1" applyFont="1" applyFill="1" applyAlignment="1"/>
    <xf numFmtId="0" fontId="2" fillId="5" borderId="0" xfId="0" applyFont="1" applyFill="1"/>
    <xf numFmtId="0" fontId="0" fillId="5" borderId="0" xfId="0" applyFill="1"/>
    <xf numFmtId="2" fontId="0" fillId="5" borderId="0" xfId="0" applyNumberFormat="1" applyFill="1"/>
    <xf numFmtId="165" fontId="0" fillId="5" borderId="0" xfId="0" applyNumberFormat="1" applyFill="1"/>
    <xf numFmtId="2" fontId="0" fillId="5" borderId="0" xfId="1" applyNumberFormat="1" applyFont="1" applyFill="1" applyAlignment="1"/>
    <xf numFmtId="165" fontId="0" fillId="5" borderId="0" xfId="1" applyNumberFormat="1" applyFont="1" applyFill="1" applyAlignment="1"/>
    <xf numFmtId="0" fontId="1" fillId="0" borderId="0" xfId="0" applyFont="1"/>
    <xf numFmtId="2" fontId="2" fillId="3" borderId="0" xfId="0" applyNumberFormat="1" applyFont="1" applyFill="1"/>
    <xf numFmtId="0" fontId="3" fillId="3" borderId="0" xfId="0" applyFont="1" applyFill="1"/>
    <xf numFmtId="0" fontId="8" fillId="3" borderId="0" xfId="0" applyFont="1" applyFill="1"/>
    <xf numFmtId="0" fontId="8" fillId="5" borderId="0" xfId="0" applyFont="1" applyFill="1"/>
    <xf numFmtId="0" fontId="7" fillId="5" borderId="0" xfId="0" applyFont="1" applyFill="1"/>
    <xf numFmtId="2" fontId="2" fillId="5" borderId="0" xfId="0" applyNumberFormat="1" applyFont="1" applyFill="1"/>
    <xf numFmtId="0" fontId="14" fillId="0" borderId="0" xfId="0" applyFont="1"/>
  </cellXfs>
  <cellStyles count="3">
    <cellStyle name="Comma" xfId="1" builtinId="3"/>
    <cellStyle name="Normal" xfId="0" builtinId="0"/>
    <cellStyle name="Normal 2" xfId="2" xr:uid="{00000000-0005-0000-0000-000031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BF9ED-962A-4052-B1F5-998810052CFD}">
  <dimension ref="A1:A13"/>
  <sheetViews>
    <sheetView topLeftCell="A8" workbookViewId="0">
      <selection activeCell="A17" sqref="A17"/>
    </sheetView>
  </sheetViews>
  <sheetFormatPr baseColWidth="10" defaultColWidth="10.83203125" defaultRowHeight="13" x14ac:dyDescent="0.15"/>
  <cols>
    <col min="1" max="1" width="70.5" style="15" customWidth="1"/>
    <col min="2" max="16384" width="10.83203125" style="3"/>
  </cols>
  <sheetData>
    <row r="1" spans="1:1" ht="34" x14ac:dyDescent="0.15">
      <c r="A1" s="10" t="s">
        <v>0</v>
      </c>
    </row>
    <row r="2" spans="1:1" ht="16" x14ac:dyDescent="0.15">
      <c r="A2" s="10"/>
    </row>
    <row r="3" spans="1:1" ht="28" x14ac:dyDescent="0.15">
      <c r="A3" s="11" t="s">
        <v>1</v>
      </c>
    </row>
    <row r="4" spans="1:1" ht="210" x14ac:dyDescent="0.15">
      <c r="A4" s="12" t="s">
        <v>2</v>
      </c>
    </row>
    <row r="5" spans="1:1" x14ac:dyDescent="0.15">
      <c r="A5" s="13"/>
    </row>
    <row r="6" spans="1:1" ht="14" x14ac:dyDescent="0.15">
      <c r="A6" s="11" t="s">
        <v>3</v>
      </c>
    </row>
    <row r="7" spans="1:1" ht="168" x14ac:dyDescent="0.15">
      <c r="A7" s="12" t="s">
        <v>4</v>
      </c>
    </row>
    <row r="8" spans="1:1" x14ac:dyDescent="0.15">
      <c r="A8" s="12"/>
    </row>
    <row r="9" spans="1:1" ht="14" x14ac:dyDescent="0.15">
      <c r="A9" s="11" t="s">
        <v>5</v>
      </c>
    </row>
    <row r="10" spans="1:1" ht="98" x14ac:dyDescent="0.15">
      <c r="A10" s="12" t="s">
        <v>6</v>
      </c>
    </row>
    <row r="11" spans="1:1" x14ac:dyDescent="0.15">
      <c r="A11" s="12"/>
    </row>
    <row r="12" spans="1:1" ht="14" x14ac:dyDescent="0.15">
      <c r="A12" s="14" t="s">
        <v>7</v>
      </c>
    </row>
    <row r="13" spans="1:1" ht="28" x14ac:dyDescent="0.15">
      <c r="A13" s="15"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zoomScale="141" zoomScaleNormal="141" workbookViewId="0">
      <selection sqref="A1:XFD1"/>
    </sheetView>
  </sheetViews>
  <sheetFormatPr baseColWidth="10" defaultColWidth="12.5" defaultRowHeight="15" customHeight="1" x14ac:dyDescent="0.15"/>
  <cols>
    <col min="1" max="1" width="17" customWidth="1"/>
    <col min="2" max="2" width="70.5" customWidth="1"/>
    <col min="3" max="26" width="10.5" customWidth="1"/>
  </cols>
  <sheetData>
    <row r="1" spans="1:2" s="1" customFormat="1" ht="16" x14ac:dyDescent="0.2">
      <c r="A1" s="2" t="s">
        <v>9</v>
      </c>
      <c r="B1" s="2" t="s">
        <v>10</v>
      </c>
    </row>
    <row r="2" spans="1:2" ht="12.75" customHeight="1" x14ac:dyDescent="0.15">
      <c r="A2" s="5" t="s">
        <v>11</v>
      </c>
      <c r="B2" s="5" t="s">
        <v>12</v>
      </c>
    </row>
    <row r="3" spans="1:2" ht="12.75" customHeight="1" x14ac:dyDescent="0.15">
      <c r="A3" s="5" t="s">
        <v>13</v>
      </c>
      <c r="B3" s="5" t="s">
        <v>14</v>
      </c>
    </row>
    <row r="4" spans="1:2" ht="12.75" customHeight="1" x14ac:dyDescent="0.15">
      <c r="A4" s="5" t="s">
        <v>15</v>
      </c>
      <c r="B4" s="5" t="s">
        <v>16</v>
      </c>
    </row>
    <row r="5" spans="1:2" ht="12.75" customHeight="1" x14ac:dyDescent="0.15">
      <c r="A5" s="5" t="s">
        <v>17</v>
      </c>
      <c r="B5" s="5" t="s">
        <v>18</v>
      </c>
    </row>
    <row r="6" spans="1:2" ht="12.75" customHeight="1" x14ac:dyDescent="0.15">
      <c r="A6" s="5" t="s">
        <v>19</v>
      </c>
      <c r="B6" s="5" t="s">
        <v>20</v>
      </c>
    </row>
    <row r="7" spans="1:2" ht="12.75" customHeight="1" x14ac:dyDescent="0.15">
      <c r="A7" s="5" t="s">
        <v>21</v>
      </c>
      <c r="B7" s="5" t="s">
        <v>22</v>
      </c>
    </row>
    <row r="8" spans="1:2" ht="12.75" customHeight="1" x14ac:dyDescent="0.15">
      <c r="A8" s="5" t="s">
        <v>23</v>
      </c>
      <c r="B8" s="5" t="s">
        <v>24</v>
      </c>
    </row>
    <row r="9" spans="1:2" ht="12.75" customHeight="1" x14ac:dyDescent="0.15">
      <c r="A9" s="5" t="s">
        <v>25</v>
      </c>
      <c r="B9" s="6" t="s">
        <v>26</v>
      </c>
    </row>
    <row r="10" spans="1:2" ht="12.75" customHeight="1" x14ac:dyDescent="0.15">
      <c r="A10" s="5" t="s">
        <v>27</v>
      </c>
      <c r="B10" s="6" t="s">
        <v>28</v>
      </c>
    </row>
    <row r="11" spans="1:2" ht="12.75" customHeight="1" x14ac:dyDescent="0.15">
      <c r="A11" s="5" t="s">
        <v>29</v>
      </c>
      <c r="B11" s="5" t="s">
        <v>30</v>
      </c>
    </row>
    <row r="12" spans="1:2" ht="12.75" customHeight="1" x14ac:dyDescent="0.15">
      <c r="A12" s="5" t="s">
        <v>31</v>
      </c>
      <c r="B12" s="5" t="s">
        <v>32</v>
      </c>
    </row>
    <row r="13" spans="1:2" ht="12.75" customHeight="1" x14ac:dyDescent="0.15"/>
    <row r="14" spans="1:2" ht="12.75" customHeight="1" x14ac:dyDescent="0.15"/>
    <row r="15" spans="1:2" ht="12.75" customHeight="1" x14ac:dyDescent="0.15"/>
    <row r="16" spans="1:2"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0"/>
  <sheetViews>
    <sheetView zoomScale="125" zoomScaleNormal="125" workbookViewId="0">
      <selection activeCell="H15" sqref="H15:H17"/>
    </sheetView>
  </sheetViews>
  <sheetFormatPr baseColWidth="10" defaultColWidth="12.5" defaultRowHeight="15" customHeight="1" x14ac:dyDescent="0.15"/>
  <cols>
    <col min="1" max="1" width="10.5" customWidth="1"/>
    <col min="2" max="2" width="6.5" customWidth="1"/>
    <col min="3" max="3" width="10.1640625" customWidth="1"/>
    <col min="4" max="4" width="7" customWidth="1"/>
    <col min="5" max="5" width="10.83203125" customWidth="1"/>
    <col min="6" max="6" width="11" bestFit="1" customWidth="1"/>
    <col min="7" max="7" width="6.33203125" bestFit="1" customWidth="1"/>
    <col min="8" max="8" width="13" bestFit="1" customWidth="1"/>
    <col min="9" max="9" width="8.83203125" customWidth="1"/>
    <col min="10" max="11" width="11" customWidth="1"/>
    <col min="12" max="12" width="13.1640625" customWidth="1"/>
    <col min="13" max="26" width="10.5" customWidth="1"/>
  </cols>
  <sheetData>
    <row r="1" spans="1:9" s="2" customFormat="1" ht="16" x14ac:dyDescent="0.2">
      <c r="A1" s="2" t="s">
        <v>13</v>
      </c>
      <c r="B1" s="2" t="s">
        <v>17</v>
      </c>
      <c r="C1" s="2" t="s">
        <v>25</v>
      </c>
      <c r="D1" s="2" t="s">
        <v>27</v>
      </c>
      <c r="E1" s="2" t="s">
        <v>29</v>
      </c>
      <c r="F1" s="2" t="s">
        <v>31</v>
      </c>
      <c r="G1" s="2" t="s">
        <v>127</v>
      </c>
      <c r="H1" s="2" t="s">
        <v>15</v>
      </c>
      <c r="I1" s="2" t="s">
        <v>11</v>
      </c>
    </row>
    <row r="2" spans="1:9" ht="12.75" customHeight="1" x14ac:dyDescent="0.15">
      <c r="A2" s="4">
        <v>10000</v>
      </c>
      <c r="B2" s="3" t="s">
        <v>33</v>
      </c>
      <c r="C2" s="3" t="s">
        <v>128</v>
      </c>
      <c r="D2" s="3" t="s">
        <v>35</v>
      </c>
      <c r="E2" s="4" t="b">
        <v>0</v>
      </c>
      <c r="F2" s="4">
        <v>0.9</v>
      </c>
      <c r="G2">
        <v>5</v>
      </c>
      <c r="H2" s="3">
        <v>3980</v>
      </c>
      <c r="I2" s="4" t="b">
        <v>0</v>
      </c>
    </row>
    <row r="3" spans="1:9" ht="12.75" customHeight="1" x14ac:dyDescent="0.15"/>
    <row r="4" spans="1:9" ht="12.75" customHeight="1" x14ac:dyDescent="0.15"/>
    <row r="5" spans="1:9" ht="12.75" customHeight="1" x14ac:dyDescent="0.15"/>
    <row r="6" spans="1:9" ht="12.75" customHeight="1" x14ac:dyDescent="0.15"/>
    <row r="7" spans="1:9" ht="12.75" customHeight="1" x14ac:dyDescent="0.15"/>
    <row r="8" spans="1:9" ht="12.75" customHeight="1" x14ac:dyDescent="0.15"/>
    <row r="9" spans="1:9" ht="12.75" customHeight="1" x14ac:dyDescent="0.15"/>
    <row r="10" spans="1:9" ht="12.75" customHeight="1" x14ac:dyDescent="0.15"/>
    <row r="11" spans="1:9" ht="12.75" customHeight="1" x14ac:dyDescent="0.15"/>
    <row r="12" spans="1:9" ht="12.75" customHeight="1" x14ac:dyDescent="0.15"/>
    <row r="13" spans="1:9" ht="12.75" customHeight="1" x14ac:dyDescent="0.15"/>
    <row r="14" spans="1:9" ht="12.75" customHeight="1" x14ac:dyDescent="0.15"/>
    <row r="15" spans="1:9" ht="12.75" customHeight="1" x14ac:dyDescent="0.15"/>
    <row r="16" spans="1:9"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row r="998" ht="12.75" customHeight="1" x14ac:dyDescent="0.15"/>
    <row r="999" ht="12.75" customHeight="1" x14ac:dyDescent="0.15"/>
    <row r="1000" ht="12.75" customHeight="1" x14ac:dyDescent="0.1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997"/>
  <sheetViews>
    <sheetView tabSelected="1" zoomScale="200" zoomScaleNormal="200" workbookViewId="0">
      <selection activeCell="D9" sqref="D9"/>
    </sheetView>
  </sheetViews>
  <sheetFormatPr baseColWidth="10" defaultColWidth="12.5" defaultRowHeight="15" customHeight="1" x14ac:dyDescent="0.15"/>
  <cols>
    <col min="1" max="1" width="14.5" customWidth="1"/>
    <col min="2" max="2" width="11.1640625" customWidth="1"/>
    <col min="3" max="3" width="10.1640625" customWidth="1"/>
    <col min="4" max="4" width="12.5" customWidth="1"/>
    <col min="5" max="26" width="10.5" customWidth="1"/>
  </cols>
  <sheetData>
    <row r="1" spans="1:4" s="2" customFormat="1" ht="16" x14ac:dyDescent="0.2">
      <c r="A1" s="2" t="s">
        <v>36</v>
      </c>
      <c r="B1" s="2" t="s">
        <v>37</v>
      </c>
      <c r="C1" s="2" t="s">
        <v>38</v>
      </c>
      <c r="D1" s="2" t="s">
        <v>39</v>
      </c>
    </row>
    <row r="2" spans="1:4" ht="12.75" customHeight="1" x14ac:dyDescent="0.15">
      <c r="A2" s="3" t="s">
        <v>40</v>
      </c>
      <c r="B2" s="3">
        <v>2017</v>
      </c>
      <c r="C2" s="3">
        <v>2017</v>
      </c>
      <c r="D2" s="3" t="s">
        <v>41</v>
      </c>
    </row>
    <row r="3" spans="1:4" ht="12.75" customHeight="1" x14ac:dyDescent="0.15">
      <c r="A3" s="3" t="s">
        <v>42</v>
      </c>
      <c r="B3" s="3">
        <v>2018</v>
      </c>
      <c r="C3" s="3">
        <v>2018</v>
      </c>
      <c r="D3" s="3" t="s">
        <v>41</v>
      </c>
    </row>
    <row r="4" spans="1:4" ht="12.75" customHeight="1" x14ac:dyDescent="0.15">
      <c r="A4" t="s">
        <v>43</v>
      </c>
      <c r="B4" s="3">
        <v>2019</v>
      </c>
      <c r="C4" s="3">
        <v>2019</v>
      </c>
      <c r="D4" s="3" t="s">
        <v>41</v>
      </c>
    </row>
    <row r="5" spans="1:4" ht="12.75" customHeight="1" x14ac:dyDescent="0.15">
      <c r="A5" t="s">
        <v>44</v>
      </c>
      <c r="B5" s="3">
        <v>2020</v>
      </c>
      <c r="C5" s="3">
        <v>2020</v>
      </c>
      <c r="D5" s="3" t="s">
        <v>41</v>
      </c>
    </row>
    <row r="6" spans="1:4" ht="12.75" customHeight="1" x14ac:dyDescent="0.15">
      <c r="A6" s="3" t="s">
        <v>45</v>
      </c>
      <c r="B6" s="3">
        <v>2021</v>
      </c>
      <c r="C6" s="3">
        <v>2021</v>
      </c>
      <c r="D6" s="3" t="s">
        <v>41</v>
      </c>
    </row>
    <row r="7" spans="1:4" ht="12.75" customHeight="1" x14ac:dyDescent="0.15">
      <c r="A7" t="s">
        <v>46</v>
      </c>
      <c r="B7" s="3">
        <v>2022</v>
      </c>
      <c r="C7" s="3">
        <v>2022</v>
      </c>
      <c r="D7" s="3" t="s">
        <v>117</v>
      </c>
    </row>
    <row r="8" spans="1:4" ht="12.75" customHeight="1" x14ac:dyDescent="0.15">
      <c r="A8" t="s">
        <v>47</v>
      </c>
      <c r="B8">
        <v>2023</v>
      </c>
      <c r="C8">
        <v>2023</v>
      </c>
      <c r="D8" s="3" t="s">
        <v>48</v>
      </c>
    </row>
    <row r="9" spans="1:4" ht="12.75" customHeight="1" x14ac:dyDescent="0.15">
      <c r="A9" s="3" t="s">
        <v>49</v>
      </c>
      <c r="B9">
        <v>2024</v>
      </c>
      <c r="C9">
        <v>2024</v>
      </c>
      <c r="D9" s="3" t="s">
        <v>48</v>
      </c>
    </row>
    <row r="10" spans="1:4" ht="12.75" customHeight="1" x14ac:dyDescent="0.15"/>
    <row r="11" spans="1:4" ht="12.75" customHeight="1" x14ac:dyDescent="0.15"/>
    <row r="12" spans="1:4" ht="12.75" customHeight="1" x14ac:dyDescent="0.15"/>
    <row r="13" spans="1:4" ht="12.75" customHeight="1" x14ac:dyDescent="0.15"/>
    <row r="14" spans="1:4" ht="12.75" customHeight="1" x14ac:dyDescent="0.15"/>
    <row r="15" spans="1:4" ht="12.75" customHeight="1" x14ac:dyDescent="0.15"/>
    <row r="16" spans="1:4" ht="12.75" customHeight="1" x14ac:dyDescent="0.15"/>
    <row r="17" ht="12.75" customHeight="1" x14ac:dyDescent="0.15"/>
    <row r="18" ht="12.75" customHeight="1" x14ac:dyDescent="0.15"/>
    <row r="19" ht="12.75" customHeight="1" x14ac:dyDescent="0.15"/>
    <row r="20" ht="12.75" customHeight="1" x14ac:dyDescent="0.15"/>
    <row r="21" ht="12.75" customHeight="1" x14ac:dyDescent="0.15"/>
    <row r="22" ht="12.75" customHeight="1" x14ac:dyDescent="0.15"/>
    <row r="23" ht="12.75" customHeight="1" x14ac:dyDescent="0.15"/>
    <row r="24" ht="12.75" customHeight="1" x14ac:dyDescent="0.15"/>
    <row r="25" ht="12.75" customHeight="1" x14ac:dyDescent="0.15"/>
    <row r="26" ht="12.75" customHeight="1" x14ac:dyDescent="0.15"/>
    <row r="27" ht="12.75" customHeight="1" x14ac:dyDescent="0.15"/>
    <row r="28" ht="12.75" customHeight="1" x14ac:dyDescent="0.15"/>
    <row r="29" ht="12.75" customHeight="1" x14ac:dyDescent="0.15"/>
    <row r="30" ht="12.75" customHeight="1" x14ac:dyDescent="0.15"/>
    <row r="31" ht="12.75" customHeight="1" x14ac:dyDescent="0.15"/>
    <row r="32" ht="12.75" customHeight="1" x14ac:dyDescent="0.15"/>
    <row r="33" ht="12.75" customHeight="1" x14ac:dyDescent="0.15"/>
    <row r="34" ht="12.75" customHeight="1" x14ac:dyDescent="0.15"/>
    <row r="35" ht="12.75" customHeight="1" x14ac:dyDescent="0.15"/>
    <row r="36" ht="12.75" customHeight="1" x14ac:dyDescent="0.15"/>
    <row r="37" ht="12.75" customHeight="1" x14ac:dyDescent="0.15"/>
    <row r="38" ht="12.75" customHeight="1" x14ac:dyDescent="0.15"/>
    <row r="39" ht="12.75" customHeight="1" x14ac:dyDescent="0.15"/>
    <row r="40" ht="12.75" customHeight="1" x14ac:dyDescent="0.15"/>
    <row r="41" ht="12.75" customHeight="1" x14ac:dyDescent="0.15"/>
    <row r="42" ht="12.75" customHeight="1" x14ac:dyDescent="0.15"/>
    <row r="43" ht="12.75" customHeight="1" x14ac:dyDescent="0.15"/>
    <row r="44" ht="12.75" customHeight="1" x14ac:dyDescent="0.15"/>
    <row r="45" ht="12.75" customHeight="1" x14ac:dyDescent="0.15"/>
    <row r="46" ht="12.75" customHeight="1" x14ac:dyDescent="0.15"/>
    <row r="47" ht="12.75" customHeight="1" x14ac:dyDescent="0.15"/>
    <row r="48" ht="12.75" customHeight="1" x14ac:dyDescent="0.15"/>
    <row r="49" ht="12.75" customHeight="1" x14ac:dyDescent="0.15"/>
    <row r="50" ht="12.75" customHeight="1" x14ac:dyDescent="0.15"/>
    <row r="51" ht="12.75" customHeight="1" x14ac:dyDescent="0.15"/>
    <row r="52" ht="12.75" customHeight="1" x14ac:dyDescent="0.15"/>
    <row r="53" ht="12.75" customHeight="1" x14ac:dyDescent="0.15"/>
    <row r="54" ht="12.75" customHeight="1" x14ac:dyDescent="0.15"/>
    <row r="55" ht="12.75" customHeight="1" x14ac:dyDescent="0.15"/>
    <row r="56" ht="12.75" customHeight="1" x14ac:dyDescent="0.15"/>
    <row r="57" ht="12.75" customHeight="1" x14ac:dyDescent="0.15"/>
    <row r="58" ht="12.75" customHeight="1" x14ac:dyDescent="0.15"/>
    <row r="59" ht="12.75" customHeight="1" x14ac:dyDescent="0.15"/>
    <row r="60" ht="12.75" customHeight="1" x14ac:dyDescent="0.15"/>
    <row r="61" ht="12.75" customHeight="1" x14ac:dyDescent="0.15"/>
    <row r="62" ht="12.75" customHeight="1" x14ac:dyDescent="0.15"/>
    <row r="63" ht="12.75" customHeight="1" x14ac:dyDescent="0.15"/>
    <row r="64" ht="12.75" customHeight="1" x14ac:dyDescent="0.15"/>
    <row r="65" ht="12.75" customHeight="1" x14ac:dyDescent="0.15"/>
    <row r="66" ht="12.75" customHeight="1" x14ac:dyDescent="0.15"/>
    <row r="67" ht="12.75" customHeight="1" x14ac:dyDescent="0.15"/>
    <row r="68" ht="12.75" customHeight="1" x14ac:dyDescent="0.15"/>
    <row r="69" ht="12.75" customHeight="1" x14ac:dyDescent="0.15"/>
    <row r="70" ht="12.75" customHeight="1" x14ac:dyDescent="0.15"/>
    <row r="71" ht="12.75" customHeight="1" x14ac:dyDescent="0.15"/>
    <row r="72" ht="12.75" customHeight="1" x14ac:dyDescent="0.15"/>
    <row r="73" ht="12.75" customHeight="1" x14ac:dyDescent="0.15"/>
    <row r="74" ht="12.75" customHeight="1" x14ac:dyDescent="0.15"/>
    <row r="75" ht="12.75" customHeight="1" x14ac:dyDescent="0.15"/>
    <row r="76" ht="12.75" customHeight="1" x14ac:dyDescent="0.15"/>
    <row r="77" ht="12.75" customHeight="1" x14ac:dyDescent="0.15"/>
    <row r="78" ht="12.75" customHeight="1" x14ac:dyDescent="0.15"/>
    <row r="79" ht="12.75" customHeight="1" x14ac:dyDescent="0.15"/>
    <row r="80" ht="12.75" customHeight="1" x14ac:dyDescent="0.15"/>
    <row r="81" ht="12.75" customHeight="1" x14ac:dyDescent="0.15"/>
    <row r="82" ht="12.75" customHeight="1" x14ac:dyDescent="0.15"/>
    <row r="83" ht="12.75" customHeight="1" x14ac:dyDescent="0.15"/>
    <row r="84" ht="12.75" customHeight="1" x14ac:dyDescent="0.15"/>
    <row r="85" ht="12.75" customHeight="1" x14ac:dyDescent="0.15"/>
    <row r="86" ht="12.75" customHeight="1" x14ac:dyDescent="0.15"/>
    <row r="87" ht="12.75" customHeight="1" x14ac:dyDescent="0.15"/>
    <row r="88" ht="12.75" customHeight="1" x14ac:dyDescent="0.15"/>
    <row r="89" ht="12.75" customHeight="1" x14ac:dyDescent="0.15"/>
    <row r="90" ht="12.75" customHeight="1" x14ac:dyDescent="0.15"/>
    <row r="91" ht="12.75" customHeight="1" x14ac:dyDescent="0.15"/>
    <row r="92" ht="12.75" customHeight="1" x14ac:dyDescent="0.15"/>
    <row r="93" ht="12.75" customHeight="1" x14ac:dyDescent="0.15"/>
    <row r="94" ht="12.75" customHeight="1" x14ac:dyDescent="0.15"/>
    <row r="95" ht="12.75" customHeight="1" x14ac:dyDescent="0.15"/>
    <row r="96" ht="12.75" customHeight="1" x14ac:dyDescent="0.15"/>
    <row r="97" ht="12.75" customHeight="1" x14ac:dyDescent="0.15"/>
    <row r="98" ht="12.75" customHeight="1" x14ac:dyDescent="0.15"/>
    <row r="99" ht="12.75" customHeight="1" x14ac:dyDescent="0.15"/>
    <row r="100" ht="12.75" customHeight="1" x14ac:dyDescent="0.15"/>
    <row r="101" ht="12.75" customHeight="1" x14ac:dyDescent="0.15"/>
    <row r="102" ht="12.75" customHeight="1" x14ac:dyDescent="0.15"/>
    <row r="103" ht="12.75" customHeight="1" x14ac:dyDescent="0.15"/>
    <row r="104" ht="12.75" customHeight="1" x14ac:dyDescent="0.15"/>
    <row r="105" ht="12.75" customHeight="1" x14ac:dyDescent="0.15"/>
    <row r="106" ht="12.75" customHeight="1" x14ac:dyDescent="0.15"/>
    <row r="107" ht="12.75" customHeight="1" x14ac:dyDescent="0.15"/>
    <row r="108" ht="12.75" customHeight="1" x14ac:dyDescent="0.15"/>
    <row r="109" ht="12.75" customHeight="1" x14ac:dyDescent="0.15"/>
    <row r="110" ht="12.75" customHeight="1" x14ac:dyDescent="0.15"/>
    <row r="111" ht="12.75" customHeight="1" x14ac:dyDescent="0.15"/>
    <row r="112" ht="12.75" customHeight="1" x14ac:dyDescent="0.15"/>
    <row r="113" ht="12.75" customHeight="1" x14ac:dyDescent="0.15"/>
    <row r="114" ht="12.75" customHeight="1" x14ac:dyDescent="0.15"/>
    <row r="115" ht="12.75" customHeight="1" x14ac:dyDescent="0.15"/>
    <row r="116" ht="12.75" customHeight="1" x14ac:dyDescent="0.15"/>
    <row r="117" ht="12.75" customHeight="1" x14ac:dyDescent="0.15"/>
    <row r="118" ht="12.75" customHeight="1" x14ac:dyDescent="0.15"/>
    <row r="119" ht="12.75" customHeight="1" x14ac:dyDescent="0.15"/>
    <row r="120" ht="12.75" customHeight="1" x14ac:dyDescent="0.15"/>
    <row r="121" ht="12.75" customHeight="1" x14ac:dyDescent="0.15"/>
    <row r="122" ht="12.75" customHeight="1" x14ac:dyDescent="0.15"/>
    <row r="123" ht="12.75" customHeight="1" x14ac:dyDescent="0.15"/>
    <row r="124" ht="12.75" customHeight="1" x14ac:dyDescent="0.15"/>
    <row r="125" ht="12.75" customHeight="1" x14ac:dyDescent="0.15"/>
    <row r="126" ht="12.75" customHeight="1" x14ac:dyDescent="0.15"/>
    <row r="127" ht="12.75" customHeight="1" x14ac:dyDescent="0.15"/>
    <row r="128" ht="12.75" customHeight="1" x14ac:dyDescent="0.15"/>
    <row r="129" ht="12.75" customHeight="1" x14ac:dyDescent="0.15"/>
    <row r="130" ht="12.75" customHeight="1" x14ac:dyDescent="0.15"/>
    <row r="131" ht="12.75" customHeight="1" x14ac:dyDescent="0.15"/>
    <row r="132" ht="12.75" customHeight="1" x14ac:dyDescent="0.15"/>
    <row r="133" ht="12.75" customHeight="1" x14ac:dyDescent="0.15"/>
    <row r="134" ht="12.75" customHeight="1" x14ac:dyDescent="0.15"/>
    <row r="135" ht="12.75" customHeight="1" x14ac:dyDescent="0.15"/>
    <row r="136" ht="12.75" customHeight="1" x14ac:dyDescent="0.15"/>
    <row r="137" ht="12.75" customHeight="1" x14ac:dyDescent="0.15"/>
    <row r="138" ht="12.75" customHeight="1" x14ac:dyDescent="0.15"/>
    <row r="139" ht="12.75" customHeight="1" x14ac:dyDescent="0.15"/>
    <row r="140" ht="12.75" customHeight="1" x14ac:dyDescent="0.15"/>
    <row r="141" ht="12.75" customHeight="1" x14ac:dyDescent="0.15"/>
    <row r="142" ht="12.75" customHeight="1" x14ac:dyDescent="0.15"/>
    <row r="143" ht="12.75" customHeight="1" x14ac:dyDescent="0.15"/>
    <row r="144" ht="12.75" customHeight="1" x14ac:dyDescent="0.15"/>
    <row r="145" ht="12.75" customHeight="1" x14ac:dyDescent="0.15"/>
    <row r="146" ht="12.75" customHeight="1" x14ac:dyDescent="0.15"/>
    <row r="147" ht="12.75" customHeight="1" x14ac:dyDescent="0.15"/>
    <row r="148" ht="12.75" customHeight="1" x14ac:dyDescent="0.15"/>
    <row r="149" ht="12.75" customHeight="1" x14ac:dyDescent="0.15"/>
    <row r="150" ht="12.75" customHeight="1" x14ac:dyDescent="0.15"/>
    <row r="151" ht="12.75" customHeight="1" x14ac:dyDescent="0.15"/>
    <row r="152" ht="12.75" customHeight="1" x14ac:dyDescent="0.15"/>
    <row r="153" ht="12.75" customHeight="1" x14ac:dyDescent="0.15"/>
    <row r="154" ht="12.75" customHeight="1" x14ac:dyDescent="0.15"/>
    <row r="155" ht="12.75" customHeight="1" x14ac:dyDescent="0.15"/>
    <row r="156" ht="12.75" customHeight="1" x14ac:dyDescent="0.15"/>
    <row r="157" ht="12.75" customHeight="1" x14ac:dyDescent="0.15"/>
    <row r="158" ht="12.75" customHeight="1" x14ac:dyDescent="0.15"/>
    <row r="159" ht="12.75" customHeight="1" x14ac:dyDescent="0.15"/>
    <row r="160" ht="12.75" customHeight="1" x14ac:dyDescent="0.15"/>
    <row r="161" ht="12.75" customHeight="1" x14ac:dyDescent="0.15"/>
    <row r="162" ht="12.75" customHeight="1" x14ac:dyDescent="0.15"/>
    <row r="163" ht="12.75" customHeight="1" x14ac:dyDescent="0.15"/>
    <row r="164" ht="12.75" customHeight="1" x14ac:dyDescent="0.15"/>
    <row r="165" ht="12.75" customHeight="1" x14ac:dyDescent="0.15"/>
    <row r="166" ht="12.75" customHeight="1" x14ac:dyDescent="0.15"/>
    <row r="167" ht="12.75" customHeight="1" x14ac:dyDescent="0.15"/>
    <row r="168" ht="12.75" customHeight="1" x14ac:dyDescent="0.15"/>
    <row r="169" ht="12.75" customHeight="1" x14ac:dyDescent="0.15"/>
    <row r="170" ht="12.75" customHeight="1" x14ac:dyDescent="0.15"/>
    <row r="171" ht="12.75" customHeight="1" x14ac:dyDescent="0.15"/>
    <row r="172" ht="12.75" customHeight="1" x14ac:dyDescent="0.15"/>
    <row r="173" ht="12.75" customHeight="1" x14ac:dyDescent="0.15"/>
    <row r="174" ht="12.75" customHeight="1" x14ac:dyDescent="0.15"/>
    <row r="175" ht="12.75" customHeight="1" x14ac:dyDescent="0.15"/>
    <row r="176" ht="12.75" customHeight="1" x14ac:dyDescent="0.15"/>
    <row r="177" ht="12.75" customHeight="1" x14ac:dyDescent="0.15"/>
    <row r="178" ht="12.75" customHeight="1" x14ac:dyDescent="0.15"/>
    <row r="179" ht="12.75" customHeight="1" x14ac:dyDescent="0.15"/>
    <row r="180" ht="12.75" customHeight="1" x14ac:dyDescent="0.15"/>
    <row r="181" ht="12.75" customHeight="1" x14ac:dyDescent="0.15"/>
    <row r="182" ht="12.75" customHeight="1" x14ac:dyDescent="0.15"/>
    <row r="183" ht="12.75" customHeight="1" x14ac:dyDescent="0.15"/>
    <row r="184" ht="12.75" customHeight="1" x14ac:dyDescent="0.15"/>
    <row r="185" ht="12.75" customHeight="1" x14ac:dyDescent="0.15"/>
    <row r="186" ht="12.75" customHeight="1" x14ac:dyDescent="0.15"/>
    <row r="187" ht="12.75" customHeight="1" x14ac:dyDescent="0.15"/>
    <row r="188" ht="12.75" customHeight="1" x14ac:dyDescent="0.15"/>
    <row r="189" ht="12.75" customHeight="1" x14ac:dyDescent="0.15"/>
    <row r="190" ht="12.75" customHeight="1" x14ac:dyDescent="0.15"/>
    <row r="191" ht="12.75" customHeight="1" x14ac:dyDescent="0.15"/>
    <row r="192" ht="12.75" customHeight="1" x14ac:dyDescent="0.15"/>
    <row r="193" ht="12.75" customHeight="1" x14ac:dyDescent="0.15"/>
    <row r="194" ht="12.75" customHeight="1" x14ac:dyDescent="0.15"/>
    <row r="195" ht="12.75" customHeight="1" x14ac:dyDescent="0.15"/>
    <row r="196" ht="12.75" customHeight="1" x14ac:dyDescent="0.15"/>
    <row r="197" ht="12.75" customHeight="1" x14ac:dyDescent="0.15"/>
    <row r="198" ht="12.75" customHeight="1" x14ac:dyDescent="0.15"/>
    <row r="199" ht="12.75" customHeight="1" x14ac:dyDescent="0.15"/>
    <row r="200" ht="12.75" customHeight="1" x14ac:dyDescent="0.15"/>
    <row r="201" ht="12.75" customHeight="1" x14ac:dyDescent="0.15"/>
    <row r="202" ht="12.75" customHeight="1" x14ac:dyDescent="0.15"/>
    <row r="203" ht="12.75" customHeight="1" x14ac:dyDescent="0.15"/>
    <row r="204" ht="12.75" customHeight="1" x14ac:dyDescent="0.15"/>
    <row r="205" ht="12.75" customHeight="1" x14ac:dyDescent="0.15"/>
    <row r="206" ht="12.75" customHeight="1" x14ac:dyDescent="0.15"/>
    <row r="207" ht="12.75" customHeight="1" x14ac:dyDescent="0.15"/>
    <row r="208" ht="12.75" customHeight="1" x14ac:dyDescent="0.15"/>
    <row r="209" ht="12.75" customHeight="1" x14ac:dyDescent="0.15"/>
    <row r="210" ht="12.75" customHeight="1" x14ac:dyDescent="0.15"/>
    <row r="211" ht="12.75" customHeight="1" x14ac:dyDescent="0.15"/>
    <row r="212" ht="12.75" customHeight="1" x14ac:dyDescent="0.15"/>
    <row r="213" ht="12.75" customHeight="1" x14ac:dyDescent="0.15"/>
    <row r="214" ht="12.75" customHeight="1" x14ac:dyDescent="0.15"/>
    <row r="215" ht="12.75" customHeight="1" x14ac:dyDescent="0.15"/>
    <row r="216" ht="12.75" customHeight="1" x14ac:dyDescent="0.15"/>
    <row r="217" ht="12.75" customHeight="1" x14ac:dyDescent="0.15"/>
    <row r="218" ht="12.75" customHeight="1" x14ac:dyDescent="0.15"/>
    <row r="219" ht="12.75" customHeight="1" x14ac:dyDescent="0.15"/>
    <row r="220" ht="12.75" customHeight="1" x14ac:dyDescent="0.15"/>
    <row r="221" ht="12.75" customHeight="1" x14ac:dyDescent="0.15"/>
    <row r="222" ht="12.75" customHeight="1" x14ac:dyDescent="0.15"/>
    <row r="223" ht="12.75" customHeight="1" x14ac:dyDescent="0.15"/>
    <row r="224" ht="12.75" customHeight="1" x14ac:dyDescent="0.15"/>
    <row r="225" ht="12.75" customHeight="1" x14ac:dyDescent="0.15"/>
    <row r="226" ht="12.75" customHeight="1" x14ac:dyDescent="0.15"/>
    <row r="227" ht="12.75" customHeight="1" x14ac:dyDescent="0.15"/>
    <row r="228" ht="12.75" customHeight="1" x14ac:dyDescent="0.15"/>
    <row r="229" ht="12.75" customHeight="1" x14ac:dyDescent="0.15"/>
    <row r="230" ht="12.75" customHeight="1" x14ac:dyDescent="0.15"/>
    <row r="231" ht="12.75" customHeight="1" x14ac:dyDescent="0.15"/>
    <row r="232" ht="12.75" customHeight="1" x14ac:dyDescent="0.15"/>
    <row r="233" ht="12.75" customHeight="1" x14ac:dyDescent="0.15"/>
    <row r="234" ht="12.75" customHeight="1" x14ac:dyDescent="0.15"/>
    <row r="235" ht="12.75" customHeight="1" x14ac:dyDescent="0.15"/>
    <row r="236" ht="12.75" customHeight="1" x14ac:dyDescent="0.15"/>
    <row r="237" ht="12.75" customHeight="1" x14ac:dyDescent="0.15"/>
    <row r="238" ht="12.75" customHeight="1" x14ac:dyDescent="0.15"/>
    <row r="239" ht="12.75" customHeight="1" x14ac:dyDescent="0.15"/>
    <row r="240" ht="12.75" customHeight="1" x14ac:dyDescent="0.15"/>
    <row r="241" ht="12.75" customHeight="1" x14ac:dyDescent="0.15"/>
    <row r="242" ht="12.75" customHeight="1" x14ac:dyDescent="0.15"/>
    <row r="243" ht="12.75" customHeight="1" x14ac:dyDescent="0.15"/>
    <row r="244" ht="12.75" customHeight="1" x14ac:dyDescent="0.15"/>
    <row r="245" ht="12.75" customHeight="1" x14ac:dyDescent="0.15"/>
    <row r="246" ht="12.75" customHeight="1" x14ac:dyDescent="0.15"/>
    <row r="247" ht="12.75" customHeight="1" x14ac:dyDescent="0.15"/>
    <row r="248" ht="12.75" customHeight="1" x14ac:dyDescent="0.15"/>
    <row r="249" ht="12.75" customHeight="1" x14ac:dyDescent="0.15"/>
    <row r="250" ht="12.75" customHeight="1" x14ac:dyDescent="0.15"/>
    <row r="251" ht="12.75" customHeight="1" x14ac:dyDescent="0.15"/>
    <row r="252" ht="12.75" customHeight="1" x14ac:dyDescent="0.15"/>
    <row r="253" ht="12.75" customHeight="1" x14ac:dyDescent="0.15"/>
    <row r="254" ht="12.75" customHeight="1" x14ac:dyDescent="0.15"/>
    <row r="255" ht="12.75" customHeight="1" x14ac:dyDescent="0.15"/>
    <row r="256" ht="12.75" customHeight="1" x14ac:dyDescent="0.15"/>
    <row r="257" ht="12.75" customHeight="1" x14ac:dyDescent="0.15"/>
    <row r="258" ht="12.75" customHeight="1" x14ac:dyDescent="0.15"/>
    <row r="259" ht="12.75" customHeight="1" x14ac:dyDescent="0.15"/>
    <row r="260" ht="12.75" customHeight="1" x14ac:dyDescent="0.15"/>
    <row r="261" ht="12.75" customHeight="1" x14ac:dyDescent="0.15"/>
    <row r="262" ht="12.75" customHeight="1" x14ac:dyDescent="0.15"/>
    <row r="263" ht="12.75" customHeight="1" x14ac:dyDescent="0.15"/>
    <row r="264" ht="12.75" customHeight="1" x14ac:dyDescent="0.15"/>
    <row r="265" ht="12.75" customHeight="1" x14ac:dyDescent="0.15"/>
    <row r="266" ht="12.75" customHeight="1" x14ac:dyDescent="0.15"/>
    <row r="267" ht="12.75" customHeight="1" x14ac:dyDescent="0.15"/>
    <row r="268" ht="12.75" customHeight="1" x14ac:dyDescent="0.15"/>
    <row r="269" ht="12.75" customHeight="1" x14ac:dyDescent="0.15"/>
    <row r="270" ht="12.75" customHeight="1" x14ac:dyDescent="0.15"/>
    <row r="271" ht="12.75" customHeight="1" x14ac:dyDescent="0.15"/>
    <row r="272" ht="12.75" customHeight="1" x14ac:dyDescent="0.15"/>
    <row r="273" ht="12.75" customHeight="1" x14ac:dyDescent="0.15"/>
    <row r="274" ht="12.75" customHeight="1" x14ac:dyDescent="0.15"/>
    <row r="275" ht="12.75" customHeight="1" x14ac:dyDescent="0.15"/>
    <row r="276" ht="12.75" customHeight="1" x14ac:dyDescent="0.15"/>
    <row r="277" ht="12.75" customHeight="1" x14ac:dyDescent="0.15"/>
    <row r="278" ht="12.75" customHeight="1" x14ac:dyDescent="0.15"/>
    <row r="279" ht="12.75" customHeight="1" x14ac:dyDescent="0.15"/>
    <row r="280" ht="12.75" customHeight="1" x14ac:dyDescent="0.15"/>
    <row r="281" ht="12.75" customHeight="1" x14ac:dyDescent="0.15"/>
    <row r="282" ht="12.75" customHeight="1" x14ac:dyDescent="0.15"/>
    <row r="283" ht="12.75" customHeight="1" x14ac:dyDescent="0.15"/>
    <row r="284" ht="12.75" customHeight="1" x14ac:dyDescent="0.15"/>
    <row r="285" ht="12.75" customHeight="1" x14ac:dyDescent="0.15"/>
    <row r="286" ht="12.75" customHeight="1" x14ac:dyDescent="0.15"/>
    <row r="287" ht="12.75" customHeight="1" x14ac:dyDescent="0.15"/>
    <row r="288" ht="12.75" customHeight="1" x14ac:dyDescent="0.15"/>
    <row r="289" ht="12.75" customHeight="1" x14ac:dyDescent="0.15"/>
    <row r="290" ht="12.75" customHeight="1" x14ac:dyDescent="0.15"/>
    <row r="291" ht="12.75" customHeight="1" x14ac:dyDescent="0.15"/>
    <row r="292" ht="12.75" customHeight="1" x14ac:dyDescent="0.15"/>
    <row r="293" ht="12.75" customHeight="1" x14ac:dyDescent="0.15"/>
    <row r="294" ht="12.75" customHeight="1" x14ac:dyDescent="0.15"/>
    <row r="295" ht="12.75" customHeight="1" x14ac:dyDescent="0.15"/>
    <row r="296" ht="12.75" customHeight="1" x14ac:dyDescent="0.15"/>
    <row r="297" ht="12.75" customHeight="1" x14ac:dyDescent="0.15"/>
    <row r="298" ht="12.75" customHeight="1" x14ac:dyDescent="0.15"/>
    <row r="299" ht="12.75" customHeight="1" x14ac:dyDescent="0.15"/>
    <row r="300" ht="12.75" customHeight="1" x14ac:dyDescent="0.15"/>
    <row r="301" ht="12.75" customHeight="1" x14ac:dyDescent="0.15"/>
    <row r="302" ht="12.75" customHeight="1" x14ac:dyDescent="0.15"/>
    <row r="303" ht="12.75" customHeight="1" x14ac:dyDescent="0.15"/>
    <row r="304" ht="12.75" customHeight="1" x14ac:dyDescent="0.15"/>
    <row r="305" ht="12.75" customHeight="1" x14ac:dyDescent="0.15"/>
    <row r="306" ht="12.75" customHeight="1" x14ac:dyDescent="0.15"/>
    <row r="307" ht="12.75" customHeight="1" x14ac:dyDescent="0.15"/>
    <row r="308" ht="12.75" customHeight="1" x14ac:dyDescent="0.15"/>
    <row r="309" ht="12.75" customHeight="1" x14ac:dyDescent="0.15"/>
    <row r="310" ht="12.75" customHeight="1" x14ac:dyDescent="0.15"/>
    <row r="311" ht="12.75" customHeight="1" x14ac:dyDescent="0.15"/>
    <row r="312" ht="12.75" customHeight="1" x14ac:dyDescent="0.15"/>
    <row r="313" ht="12.75" customHeight="1" x14ac:dyDescent="0.15"/>
    <row r="314" ht="12.75" customHeight="1" x14ac:dyDescent="0.15"/>
    <row r="315" ht="12.75" customHeight="1" x14ac:dyDescent="0.15"/>
    <row r="316" ht="12.75" customHeight="1" x14ac:dyDescent="0.15"/>
    <row r="317" ht="12.75" customHeight="1" x14ac:dyDescent="0.15"/>
    <row r="318" ht="12.75" customHeight="1" x14ac:dyDescent="0.15"/>
    <row r="319" ht="12.75" customHeight="1" x14ac:dyDescent="0.15"/>
    <row r="320" ht="12.75" customHeight="1" x14ac:dyDescent="0.15"/>
    <row r="321" ht="12.75" customHeight="1" x14ac:dyDescent="0.15"/>
    <row r="322" ht="12.75" customHeight="1" x14ac:dyDescent="0.15"/>
    <row r="323" ht="12.75" customHeight="1" x14ac:dyDescent="0.15"/>
    <row r="324" ht="12.75" customHeight="1" x14ac:dyDescent="0.15"/>
    <row r="325" ht="12.75" customHeight="1" x14ac:dyDescent="0.15"/>
    <row r="326" ht="12.75" customHeight="1" x14ac:dyDescent="0.15"/>
    <row r="327" ht="12.75" customHeight="1" x14ac:dyDescent="0.15"/>
    <row r="328" ht="12.75" customHeight="1" x14ac:dyDescent="0.15"/>
    <row r="329" ht="12.75" customHeight="1" x14ac:dyDescent="0.15"/>
    <row r="330" ht="12.75" customHeight="1" x14ac:dyDescent="0.15"/>
    <row r="331" ht="12.75" customHeight="1" x14ac:dyDescent="0.15"/>
    <row r="332" ht="12.75" customHeight="1" x14ac:dyDescent="0.15"/>
    <row r="333" ht="12.75" customHeight="1" x14ac:dyDescent="0.15"/>
    <row r="334" ht="12.75" customHeight="1" x14ac:dyDescent="0.15"/>
    <row r="335" ht="12.75" customHeight="1" x14ac:dyDescent="0.15"/>
    <row r="336" ht="12.75" customHeight="1" x14ac:dyDescent="0.15"/>
    <row r="337" ht="12.75" customHeight="1" x14ac:dyDescent="0.15"/>
    <row r="338" ht="12.75" customHeight="1" x14ac:dyDescent="0.15"/>
    <row r="339" ht="12.75" customHeight="1" x14ac:dyDescent="0.15"/>
    <row r="340" ht="12.75" customHeight="1" x14ac:dyDescent="0.15"/>
    <row r="341" ht="12.75" customHeight="1" x14ac:dyDescent="0.15"/>
    <row r="342" ht="12.75" customHeight="1" x14ac:dyDescent="0.15"/>
    <row r="343" ht="12.75" customHeight="1" x14ac:dyDescent="0.15"/>
    <row r="344" ht="12.75" customHeight="1" x14ac:dyDescent="0.15"/>
    <row r="345" ht="12.75" customHeight="1" x14ac:dyDescent="0.15"/>
    <row r="346" ht="12.75" customHeight="1" x14ac:dyDescent="0.15"/>
    <row r="347" ht="12.75" customHeight="1" x14ac:dyDescent="0.15"/>
    <row r="348" ht="12.75" customHeight="1" x14ac:dyDescent="0.15"/>
    <row r="349" ht="12.75" customHeight="1" x14ac:dyDescent="0.15"/>
    <row r="350" ht="12.75" customHeight="1" x14ac:dyDescent="0.15"/>
    <row r="351" ht="12.75" customHeight="1" x14ac:dyDescent="0.15"/>
    <row r="352" ht="12.75" customHeight="1" x14ac:dyDescent="0.15"/>
    <row r="353" ht="12.75" customHeight="1" x14ac:dyDescent="0.15"/>
    <row r="354" ht="12.75" customHeight="1" x14ac:dyDescent="0.15"/>
    <row r="355" ht="12.75" customHeight="1" x14ac:dyDescent="0.15"/>
    <row r="356" ht="12.75" customHeight="1" x14ac:dyDescent="0.15"/>
    <row r="357" ht="12.75" customHeight="1" x14ac:dyDescent="0.15"/>
    <row r="358" ht="12.75" customHeight="1" x14ac:dyDescent="0.15"/>
    <row r="359" ht="12.75" customHeight="1" x14ac:dyDescent="0.15"/>
    <row r="360" ht="12.75" customHeight="1" x14ac:dyDescent="0.15"/>
    <row r="361" ht="12.75" customHeight="1" x14ac:dyDescent="0.15"/>
    <row r="362" ht="12.75" customHeight="1" x14ac:dyDescent="0.15"/>
    <row r="363" ht="12.75" customHeight="1" x14ac:dyDescent="0.15"/>
    <row r="364" ht="12.75" customHeight="1" x14ac:dyDescent="0.15"/>
    <row r="365" ht="12.75" customHeight="1" x14ac:dyDescent="0.15"/>
    <row r="366" ht="12.75" customHeight="1" x14ac:dyDescent="0.15"/>
    <row r="367" ht="12.75" customHeight="1" x14ac:dyDescent="0.15"/>
    <row r="368" ht="12.75" customHeight="1" x14ac:dyDescent="0.15"/>
    <row r="369" ht="12.75" customHeight="1" x14ac:dyDescent="0.15"/>
    <row r="370" ht="12.75" customHeight="1" x14ac:dyDescent="0.15"/>
    <row r="371" ht="12.75" customHeight="1" x14ac:dyDescent="0.15"/>
    <row r="372" ht="12.75" customHeight="1" x14ac:dyDescent="0.15"/>
    <row r="373" ht="12.75" customHeight="1" x14ac:dyDescent="0.15"/>
    <row r="374" ht="12.75" customHeight="1" x14ac:dyDescent="0.15"/>
    <row r="375" ht="12.75" customHeight="1" x14ac:dyDescent="0.15"/>
    <row r="376" ht="12.75" customHeight="1" x14ac:dyDescent="0.15"/>
    <row r="377" ht="12.75" customHeight="1" x14ac:dyDescent="0.15"/>
    <row r="378" ht="12.75" customHeight="1" x14ac:dyDescent="0.15"/>
    <row r="379" ht="12.75" customHeight="1" x14ac:dyDescent="0.15"/>
    <row r="380" ht="12.75" customHeight="1" x14ac:dyDescent="0.15"/>
    <row r="381" ht="12.75" customHeight="1" x14ac:dyDescent="0.15"/>
    <row r="382" ht="12.75" customHeight="1" x14ac:dyDescent="0.15"/>
    <row r="383" ht="12.75" customHeight="1" x14ac:dyDescent="0.15"/>
    <row r="384" ht="12.75" customHeight="1" x14ac:dyDescent="0.15"/>
    <row r="385" ht="12.75" customHeight="1" x14ac:dyDescent="0.15"/>
    <row r="386" ht="12.75" customHeight="1" x14ac:dyDescent="0.15"/>
    <row r="387" ht="12.75" customHeight="1" x14ac:dyDescent="0.15"/>
    <row r="388" ht="12.75" customHeight="1" x14ac:dyDescent="0.15"/>
    <row r="389" ht="12.75" customHeight="1" x14ac:dyDescent="0.15"/>
    <row r="390" ht="12.75" customHeight="1" x14ac:dyDescent="0.15"/>
    <row r="391" ht="12.75" customHeight="1" x14ac:dyDescent="0.15"/>
    <row r="392" ht="12.75" customHeight="1" x14ac:dyDescent="0.15"/>
    <row r="393" ht="12.75" customHeight="1" x14ac:dyDescent="0.15"/>
    <row r="394" ht="12.75" customHeight="1" x14ac:dyDescent="0.15"/>
    <row r="395" ht="12.75" customHeight="1" x14ac:dyDescent="0.15"/>
    <row r="396" ht="12.75" customHeight="1" x14ac:dyDescent="0.15"/>
    <row r="397" ht="12.75" customHeight="1" x14ac:dyDescent="0.15"/>
    <row r="398" ht="12.75" customHeight="1" x14ac:dyDescent="0.15"/>
    <row r="399" ht="12.75" customHeight="1" x14ac:dyDescent="0.15"/>
    <row r="400" ht="12.75" customHeight="1" x14ac:dyDescent="0.15"/>
    <row r="401" ht="12.75" customHeight="1" x14ac:dyDescent="0.15"/>
    <row r="402" ht="12.75" customHeight="1" x14ac:dyDescent="0.15"/>
    <row r="403" ht="12.75" customHeight="1" x14ac:dyDescent="0.15"/>
    <row r="404" ht="12.75" customHeight="1" x14ac:dyDescent="0.15"/>
    <row r="405" ht="12.75" customHeight="1" x14ac:dyDescent="0.15"/>
    <row r="406" ht="12.75" customHeight="1" x14ac:dyDescent="0.15"/>
    <row r="407" ht="12.75" customHeight="1" x14ac:dyDescent="0.15"/>
    <row r="408" ht="12.75" customHeight="1" x14ac:dyDescent="0.15"/>
    <row r="409" ht="12.75" customHeight="1" x14ac:dyDescent="0.15"/>
    <row r="410" ht="12.75" customHeight="1" x14ac:dyDescent="0.15"/>
    <row r="411" ht="12.75" customHeight="1" x14ac:dyDescent="0.15"/>
    <row r="412" ht="12.75" customHeight="1" x14ac:dyDescent="0.15"/>
    <row r="413" ht="12.75" customHeight="1" x14ac:dyDescent="0.15"/>
    <row r="414" ht="12.75" customHeight="1" x14ac:dyDescent="0.15"/>
    <row r="415" ht="12.75" customHeight="1" x14ac:dyDescent="0.15"/>
    <row r="416" ht="12.75" customHeight="1" x14ac:dyDescent="0.15"/>
    <row r="417" ht="12.75" customHeight="1" x14ac:dyDescent="0.15"/>
    <row r="418" ht="12.75" customHeight="1" x14ac:dyDescent="0.15"/>
    <row r="419" ht="12.75" customHeight="1" x14ac:dyDescent="0.15"/>
    <row r="420" ht="12.75" customHeight="1" x14ac:dyDescent="0.15"/>
    <row r="421" ht="12.75" customHeight="1" x14ac:dyDescent="0.15"/>
    <row r="422" ht="12.75" customHeight="1" x14ac:dyDescent="0.15"/>
    <row r="423" ht="12.75" customHeight="1" x14ac:dyDescent="0.15"/>
    <row r="424" ht="12.75" customHeight="1" x14ac:dyDescent="0.15"/>
    <row r="425" ht="12.75" customHeight="1" x14ac:dyDescent="0.15"/>
    <row r="426" ht="12.75" customHeight="1" x14ac:dyDescent="0.15"/>
    <row r="427" ht="12.75" customHeight="1" x14ac:dyDescent="0.15"/>
    <row r="428" ht="12.75" customHeight="1" x14ac:dyDescent="0.15"/>
    <row r="429" ht="12.75" customHeight="1" x14ac:dyDescent="0.15"/>
    <row r="430" ht="12.75" customHeight="1" x14ac:dyDescent="0.15"/>
    <row r="431" ht="12.75" customHeight="1" x14ac:dyDescent="0.15"/>
    <row r="432" ht="12.75" customHeight="1" x14ac:dyDescent="0.15"/>
    <row r="433" ht="12.75" customHeight="1" x14ac:dyDescent="0.15"/>
    <row r="434" ht="12.75" customHeight="1" x14ac:dyDescent="0.15"/>
    <row r="435" ht="12.75" customHeight="1" x14ac:dyDescent="0.15"/>
    <row r="436" ht="12.75" customHeight="1" x14ac:dyDescent="0.15"/>
    <row r="437" ht="12.75" customHeight="1" x14ac:dyDescent="0.15"/>
    <row r="438" ht="12.75" customHeight="1" x14ac:dyDescent="0.15"/>
    <row r="439" ht="12.75" customHeight="1" x14ac:dyDescent="0.15"/>
    <row r="440" ht="12.75" customHeight="1" x14ac:dyDescent="0.15"/>
    <row r="441" ht="12.75" customHeight="1" x14ac:dyDescent="0.15"/>
    <row r="442" ht="12.75" customHeight="1" x14ac:dyDescent="0.15"/>
    <row r="443" ht="12.75" customHeight="1" x14ac:dyDescent="0.15"/>
    <row r="444" ht="12.75" customHeight="1" x14ac:dyDescent="0.15"/>
    <row r="445" ht="12.75" customHeight="1" x14ac:dyDescent="0.15"/>
    <row r="446" ht="12.75" customHeight="1" x14ac:dyDescent="0.15"/>
    <row r="447" ht="12.75" customHeight="1" x14ac:dyDescent="0.15"/>
    <row r="448" ht="12.75" customHeight="1" x14ac:dyDescent="0.15"/>
    <row r="449" ht="12.75" customHeight="1" x14ac:dyDescent="0.15"/>
    <row r="450" ht="12.75" customHeight="1" x14ac:dyDescent="0.15"/>
    <row r="451" ht="12.75" customHeight="1" x14ac:dyDescent="0.15"/>
    <row r="452" ht="12.75" customHeight="1" x14ac:dyDescent="0.15"/>
    <row r="453" ht="12.75" customHeight="1" x14ac:dyDescent="0.15"/>
    <row r="454" ht="12.75" customHeight="1" x14ac:dyDescent="0.15"/>
    <row r="455" ht="12.75" customHeight="1" x14ac:dyDescent="0.15"/>
    <row r="456" ht="12.75" customHeight="1" x14ac:dyDescent="0.15"/>
    <row r="457" ht="12.75" customHeight="1" x14ac:dyDescent="0.15"/>
    <row r="458" ht="12.75" customHeight="1" x14ac:dyDescent="0.15"/>
    <row r="459" ht="12.75" customHeight="1" x14ac:dyDescent="0.15"/>
    <row r="460" ht="12.75" customHeight="1" x14ac:dyDescent="0.15"/>
    <row r="461" ht="12.75" customHeight="1" x14ac:dyDescent="0.15"/>
    <row r="462" ht="12.75" customHeight="1" x14ac:dyDescent="0.15"/>
    <row r="463" ht="12.75" customHeight="1" x14ac:dyDescent="0.15"/>
    <row r="464" ht="12.75" customHeight="1" x14ac:dyDescent="0.15"/>
    <row r="465" ht="12.75" customHeight="1" x14ac:dyDescent="0.15"/>
    <row r="466" ht="12.75" customHeight="1" x14ac:dyDescent="0.15"/>
    <row r="467" ht="12.75" customHeight="1" x14ac:dyDescent="0.15"/>
    <row r="468" ht="12.75" customHeight="1" x14ac:dyDescent="0.15"/>
    <row r="469" ht="12.75" customHeight="1" x14ac:dyDescent="0.15"/>
    <row r="470" ht="12.75" customHeight="1" x14ac:dyDescent="0.15"/>
    <row r="471" ht="12.75" customHeight="1" x14ac:dyDescent="0.15"/>
    <row r="472" ht="12.75" customHeight="1" x14ac:dyDescent="0.15"/>
    <row r="473" ht="12.75" customHeight="1" x14ac:dyDescent="0.15"/>
    <row r="474" ht="12.75" customHeight="1" x14ac:dyDescent="0.15"/>
    <row r="475" ht="12.75" customHeight="1" x14ac:dyDescent="0.15"/>
    <row r="476" ht="12.75" customHeight="1" x14ac:dyDescent="0.15"/>
    <row r="477" ht="12.75" customHeight="1" x14ac:dyDescent="0.15"/>
    <row r="478" ht="12.75" customHeight="1" x14ac:dyDescent="0.15"/>
    <row r="479" ht="12.75" customHeight="1" x14ac:dyDescent="0.15"/>
    <row r="480" ht="12.75" customHeight="1" x14ac:dyDescent="0.15"/>
    <row r="481" ht="12.75" customHeight="1" x14ac:dyDescent="0.15"/>
    <row r="482" ht="12.75" customHeight="1" x14ac:dyDescent="0.15"/>
    <row r="483" ht="12.75" customHeight="1" x14ac:dyDescent="0.15"/>
    <row r="484" ht="12.75" customHeight="1" x14ac:dyDescent="0.15"/>
    <row r="485" ht="12.75" customHeight="1" x14ac:dyDescent="0.15"/>
    <row r="486" ht="12.75" customHeight="1" x14ac:dyDescent="0.15"/>
    <row r="487" ht="12.75" customHeight="1" x14ac:dyDescent="0.15"/>
    <row r="488" ht="12.75" customHeight="1" x14ac:dyDescent="0.15"/>
    <row r="489" ht="12.75" customHeight="1" x14ac:dyDescent="0.15"/>
    <row r="490" ht="12.75" customHeight="1" x14ac:dyDescent="0.15"/>
    <row r="491" ht="12.75" customHeight="1" x14ac:dyDescent="0.15"/>
    <row r="492" ht="12.75" customHeight="1" x14ac:dyDescent="0.15"/>
    <row r="493" ht="12.75" customHeight="1" x14ac:dyDescent="0.15"/>
    <row r="494" ht="12.75" customHeight="1" x14ac:dyDescent="0.15"/>
    <row r="495" ht="12.75" customHeight="1" x14ac:dyDescent="0.15"/>
    <row r="496" ht="12.75" customHeight="1" x14ac:dyDescent="0.15"/>
    <row r="497" ht="12.75" customHeight="1" x14ac:dyDescent="0.15"/>
    <row r="498" ht="12.75" customHeight="1" x14ac:dyDescent="0.15"/>
    <row r="499" ht="12.75" customHeight="1" x14ac:dyDescent="0.15"/>
    <row r="500" ht="12.75" customHeight="1" x14ac:dyDescent="0.15"/>
    <row r="501" ht="12.75" customHeight="1" x14ac:dyDescent="0.15"/>
    <row r="502" ht="12.75" customHeight="1" x14ac:dyDescent="0.15"/>
    <row r="503" ht="12.75" customHeight="1" x14ac:dyDescent="0.15"/>
    <row r="504" ht="12.75" customHeight="1" x14ac:dyDescent="0.15"/>
    <row r="505" ht="12.75" customHeight="1" x14ac:dyDescent="0.15"/>
    <row r="506" ht="12.75" customHeight="1" x14ac:dyDescent="0.15"/>
    <row r="507" ht="12.75" customHeight="1" x14ac:dyDescent="0.15"/>
    <row r="508" ht="12.75" customHeight="1" x14ac:dyDescent="0.15"/>
    <row r="509" ht="12.75" customHeight="1" x14ac:dyDescent="0.15"/>
    <row r="510" ht="12.75" customHeight="1" x14ac:dyDescent="0.15"/>
    <row r="511" ht="12.75" customHeight="1" x14ac:dyDescent="0.15"/>
    <row r="512" ht="12.75" customHeight="1" x14ac:dyDescent="0.15"/>
    <row r="513" ht="12.75" customHeight="1" x14ac:dyDescent="0.15"/>
    <row r="514" ht="12.75" customHeight="1" x14ac:dyDescent="0.15"/>
    <row r="515" ht="12.75" customHeight="1" x14ac:dyDescent="0.15"/>
    <row r="516" ht="12.75" customHeight="1" x14ac:dyDescent="0.15"/>
    <row r="517" ht="12.75" customHeight="1" x14ac:dyDescent="0.15"/>
    <row r="518" ht="12.75" customHeight="1" x14ac:dyDescent="0.15"/>
    <row r="519" ht="12.75" customHeight="1" x14ac:dyDescent="0.15"/>
    <row r="520" ht="12.75" customHeight="1" x14ac:dyDescent="0.15"/>
    <row r="521" ht="12.75" customHeight="1" x14ac:dyDescent="0.15"/>
    <row r="522" ht="12.75" customHeight="1" x14ac:dyDescent="0.15"/>
    <row r="523" ht="12.75" customHeight="1" x14ac:dyDescent="0.15"/>
    <row r="524" ht="12.75" customHeight="1" x14ac:dyDescent="0.15"/>
    <row r="525" ht="12.75" customHeight="1" x14ac:dyDescent="0.15"/>
    <row r="526" ht="12.75" customHeight="1" x14ac:dyDescent="0.15"/>
    <row r="527" ht="12.75" customHeight="1" x14ac:dyDescent="0.15"/>
    <row r="528" ht="12.75" customHeight="1" x14ac:dyDescent="0.15"/>
    <row r="529" ht="12.75" customHeight="1" x14ac:dyDescent="0.15"/>
    <row r="530" ht="12.75" customHeight="1" x14ac:dyDescent="0.15"/>
    <row r="531" ht="12.75" customHeight="1" x14ac:dyDescent="0.15"/>
    <row r="532" ht="12.75" customHeight="1" x14ac:dyDescent="0.15"/>
    <row r="533" ht="12.75" customHeight="1" x14ac:dyDescent="0.15"/>
    <row r="534" ht="12.75" customHeight="1" x14ac:dyDescent="0.15"/>
    <row r="535" ht="12.75" customHeight="1" x14ac:dyDescent="0.15"/>
    <row r="536" ht="12.75" customHeight="1" x14ac:dyDescent="0.15"/>
    <row r="537" ht="12.75" customHeight="1" x14ac:dyDescent="0.15"/>
    <row r="538" ht="12.75" customHeight="1" x14ac:dyDescent="0.15"/>
    <row r="539" ht="12.75" customHeight="1" x14ac:dyDescent="0.15"/>
    <row r="540" ht="12.75" customHeight="1" x14ac:dyDescent="0.15"/>
    <row r="541" ht="12.75" customHeight="1" x14ac:dyDescent="0.15"/>
    <row r="542" ht="12.75" customHeight="1" x14ac:dyDescent="0.15"/>
    <row r="543" ht="12.75" customHeight="1" x14ac:dyDescent="0.15"/>
    <row r="544" ht="12.75" customHeight="1" x14ac:dyDescent="0.15"/>
    <row r="545" ht="12.75" customHeight="1" x14ac:dyDescent="0.15"/>
    <row r="546" ht="12.75" customHeight="1" x14ac:dyDescent="0.15"/>
    <row r="547" ht="12.75" customHeight="1" x14ac:dyDescent="0.15"/>
    <row r="548" ht="12.75" customHeight="1" x14ac:dyDescent="0.15"/>
    <row r="549" ht="12.75" customHeight="1" x14ac:dyDescent="0.15"/>
    <row r="550" ht="12.75" customHeight="1" x14ac:dyDescent="0.15"/>
    <row r="551" ht="12.75" customHeight="1" x14ac:dyDescent="0.15"/>
    <row r="552" ht="12.75" customHeight="1" x14ac:dyDescent="0.15"/>
    <row r="553" ht="12.75" customHeight="1" x14ac:dyDescent="0.15"/>
    <row r="554" ht="12.75" customHeight="1" x14ac:dyDescent="0.15"/>
    <row r="555" ht="12.75" customHeight="1" x14ac:dyDescent="0.15"/>
    <row r="556" ht="12.75" customHeight="1" x14ac:dyDescent="0.15"/>
    <row r="557" ht="12.75" customHeight="1" x14ac:dyDescent="0.15"/>
    <row r="558" ht="12.75" customHeight="1" x14ac:dyDescent="0.15"/>
    <row r="559" ht="12.75" customHeight="1" x14ac:dyDescent="0.15"/>
    <row r="560" ht="12.75" customHeight="1" x14ac:dyDescent="0.15"/>
    <row r="561" ht="12.75" customHeight="1" x14ac:dyDescent="0.15"/>
    <row r="562" ht="12.75" customHeight="1" x14ac:dyDescent="0.15"/>
    <row r="563" ht="12.75" customHeight="1" x14ac:dyDescent="0.15"/>
    <row r="564" ht="12.75" customHeight="1" x14ac:dyDescent="0.15"/>
    <row r="565" ht="12.75" customHeight="1" x14ac:dyDescent="0.15"/>
    <row r="566" ht="12.75" customHeight="1" x14ac:dyDescent="0.15"/>
    <row r="567" ht="12.75" customHeight="1" x14ac:dyDescent="0.15"/>
    <row r="568" ht="12.75" customHeight="1" x14ac:dyDescent="0.15"/>
    <row r="569" ht="12.75" customHeight="1" x14ac:dyDescent="0.15"/>
    <row r="570" ht="12.75" customHeight="1" x14ac:dyDescent="0.15"/>
    <row r="571" ht="12.75" customHeight="1" x14ac:dyDescent="0.15"/>
    <row r="572" ht="12.75" customHeight="1" x14ac:dyDescent="0.15"/>
    <row r="573" ht="12.75" customHeight="1" x14ac:dyDescent="0.15"/>
    <row r="574" ht="12.75" customHeight="1" x14ac:dyDescent="0.15"/>
    <row r="575" ht="12.75" customHeight="1" x14ac:dyDescent="0.15"/>
    <row r="576" ht="12.75" customHeight="1" x14ac:dyDescent="0.15"/>
    <row r="577" ht="12.75" customHeight="1" x14ac:dyDescent="0.15"/>
    <row r="578" ht="12.75" customHeight="1" x14ac:dyDescent="0.15"/>
    <row r="579" ht="12.75" customHeight="1" x14ac:dyDescent="0.15"/>
    <row r="580" ht="12.75" customHeight="1" x14ac:dyDescent="0.15"/>
    <row r="581" ht="12.75" customHeight="1" x14ac:dyDescent="0.15"/>
    <row r="582" ht="12.75" customHeight="1" x14ac:dyDescent="0.15"/>
    <row r="583" ht="12.75" customHeight="1" x14ac:dyDescent="0.15"/>
    <row r="584" ht="12.75" customHeight="1" x14ac:dyDescent="0.15"/>
    <row r="585" ht="12.75" customHeight="1" x14ac:dyDescent="0.15"/>
    <row r="586" ht="12.75" customHeight="1" x14ac:dyDescent="0.15"/>
    <row r="587" ht="12.75" customHeight="1" x14ac:dyDescent="0.15"/>
    <row r="588" ht="12.75" customHeight="1" x14ac:dyDescent="0.15"/>
    <row r="589" ht="12.75" customHeight="1" x14ac:dyDescent="0.15"/>
    <row r="590" ht="12.75" customHeight="1" x14ac:dyDescent="0.15"/>
    <row r="591" ht="12.75" customHeight="1" x14ac:dyDescent="0.15"/>
    <row r="592" ht="12.75" customHeight="1" x14ac:dyDescent="0.15"/>
    <row r="593" ht="12.75" customHeight="1" x14ac:dyDescent="0.15"/>
    <row r="594" ht="12.75" customHeight="1" x14ac:dyDescent="0.15"/>
    <row r="595" ht="12.75" customHeight="1" x14ac:dyDescent="0.15"/>
    <row r="596" ht="12.75" customHeight="1" x14ac:dyDescent="0.15"/>
    <row r="597" ht="12.75" customHeight="1" x14ac:dyDescent="0.15"/>
    <row r="598" ht="12.75" customHeight="1" x14ac:dyDescent="0.15"/>
    <row r="599" ht="12.75" customHeight="1" x14ac:dyDescent="0.15"/>
    <row r="600" ht="12.75" customHeight="1" x14ac:dyDescent="0.15"/>
    <row r="601" ht="12.75" customHeight="1" x14ac:dyDescent="0.15"/>
    <row r="602" ht="12.75" customHeight="1" x14ac:dyDescent="0.15"/>
    <row r="603" ht="12.75" customHeight="1" x14ac:dyDescent="0.15"/>
    <row r="604" ht="12.75" customHeight="1" x14ac:dyDescent="0.15"/>
    <row r="605" ht="12.75" customHeight="1" x14ac:dyDescent="0.15"/>
    <row r="606" ht="12.75" customHeight="1" x14ac:dyDescent="0.15"/>
    <row r="607" ht="12.75" customHeight="1" x14ac:dyDescent="0.15"/>
    <row r="608" ht="12.75" customHeight="1" x14ac:dyDescent="0.15"/>
    <row r="609" ht="12.75" customHeight="1" x14ac:dyDescent="0.15"/>
    <row r="610" ht="12.75" customHeight="1" x14ac:dyDescent="0.15"/>
    <row r="611" ht="12.75" customHeight="1" x14ac:dyDescent="0.15"/>
    <row r="612" ht="12.75" customHeight="1" x14ac:dyDescent="0.15"/>
    <row r="613" ht="12.75" customHeight="1" x14ac:dyDescent="0.15"/>
    <row r="614" ht="12.75" customHeight="1" x14ac:dyDescent="0.15"/>
    <row r="615" ht="12.75" customHeight="1" x14ac:dyDescent="0.15"/>
    <row r="616" ht="12.75" customHeight="1" x14ac:dyDescent="0.15"/>
    <row r="617" ht="12.75" customHeight="1" x14ac:dyDescent="0.15"/>
    <row r="618" ht="12.75" customHeight="1" x14ac:dyDescent="0.15"/>
    <row r="619" ht="12.75" customHeight="1" x14ac:dyDescent="0.15"/>
    <row r="620" ht="12.75" customHeight="1" x14ac:dyDescent="0.15"/>
    <row r="621" ht="12.75" customHeight="1" x14ac:dyDescent="0.15"/>
    <row r="622" ht="12.75" customHeight="1" x14ac:dyDescent="0.15"/>
    <row r="623" ht="12.75" customHeight="1" x14ac:dyDescent="0.15"/>
    <row r="624" ht="12.75" customHeight="1" x14ac:dyDescent="0.15"/>
    <row r="625" ht="12.75" customHeight="1" x14ac:dyDescent="0.15"/>
    <row r="626" ht="12.75" customHeight="1" x14ac:dyDescent="0.15"/>
    <row r="627" ht="12.75" customHeight="1" x14ac:dyDescent="0.15"/>
    <row r="628" ht="12.75" customHeight="1" x14ac:dyDescent="0.15"/>
    <row r="629" ht="12.75" customHeight="1" x14ac:dyDescent="0.15"/>
    <row r="630" ht="12.75" customHeight="1" x14ac:dyDescent="0.15"/>
    <row r="631" ht="12.75" customHeight="1" x14ac:dyDescent="0.15"/>
    <row r="632" ht="12.75" customHeight="1" x14ac:dyDescent="0.15"/>
    <row r="633" ht="12.75" customHeight="1" x14ac:dyDescent="0.15"/>
    <row r="634" ht="12.75" customHeight="1" x14ac:dyDescent="0.15"/>
    <row r="635" ht="12.75" customHeight="1" x14ac:dyDescent="0.15"/>
    <row r="636" ht="12.75" customHeight="1" x14ac:dyDescent="0.15"/>
    <row r="637" ht="12.75" customHeight="1" x14ac:dyDescent="0.15"/>
    <row r="638" ht="12.75" customHeight="1" x14ac:dyDescent="0.15"/>
    <row r="639" ht="12.75" customHeight="1" x14ac:dyDescent="0.15"/>
    <row r="640" ht="12.75" customHeight="1" x14ac:dyDescent="0.15"/>
    <row r="641" ht="12.75" customHeight="1" x14ac:dyDescent="0.15"/>
    <row r="642" ht="12.75" customHeight="1" x14ac:dyDescent="0.15"/>
    <row r="643" ht="12.75" customHeight="1" x14ac:dyDescent="0.15"/>
    <row r="644" ht="12.75" customHeight="1" x14ac:dyDescent="0.15"/>
    <row r="645" ht="12.75" customHeight="1" x14ac:dyDescent="0.15"/>
    <row r="646" ht="12.75" customHeight="1" x14ac:dyDescent="0.15"/>
    <row r="647" ht="12.75" customHeight="1" x14ac:dyDescent="0.15"/>
    <row r="648" ht="12.75" customHeight="1" x14ac:dyDescent="0.15"/>
    <row r="649" ht="12.75" customHeight="1" x14ac:dyDescent="0.15"/>
    <row r="650" ht="12.75" customHeight="1" x14ac:dyDescent="0.15"/>
    <row r="651" ht="12.75" customHeight="1" x14ac:dyDescent="0.15"/>
    <row r="652" ht="12.75" customHeight="1" x14ac:dyDescent="0.15"/>
    <row r="653" ht="12.75" customHeight="1" x14ac:dyDescent="0.15"/>
    <row r="654" ht="12.75" customHeight="1" x14ac:dyDescent="0.15"/>
    <row r="655" ht="12.75" customHeight="1" x14ac:dyDescent="0.15"/>
    <row r="656" ht="12.75" customHeight="1" x14ac:dyDescent="0.15"/>
    <row r="657" ht="12.75" customHeight="1" x14ac:dyDescent="0.15"/>
    <row r="658" ht="12.75" customHeight="1" x14ac:dyDescent="0.15"/>
    <row r="659" ht="12.75" customHeight="1" x14ac:dyDescent="0.15"/>
    <row r="660" ht="12.75" customHeight="1" x14ac:dyDescent="0.15"/>
    <row r="661" ht="12.75" customHeight="1" x14ac:dyDescent="0.15"/>
    <row r="662" ht="12.75" customHeight="1" x14ac:dyDescent="0.15"/>
    <row r="663" ht="12.75" customHeight="1" x14ac:dyDescent="0.15"/>
    <row r="664" ht="12.75" customHeight="1" x14ac:dyDescent="0.15"/>
    <row r="665" ht="12.75" customHeight="1" x14ac:dyDescent="0.15"/>
    <row r="666" ht="12.75" customHeight="1" x14ac:dyDescent="0.15"/>
    <row r="667" ht="12.75" customHeight="1" x14ac:dyDescent="0.15"/>
    <row r="668" ht="12.75" customHeight="1" x14ac:dyDescent="0.15"/>
    <row r="669" ht="12.75" customHeight="1" x14ac:dyDescent="0.15"/>
    <row r="670" ht="12.75" customHeight="1" x14ac:dyDescent="0.15"/>
    <row r="671" ht="12.75" customHeight="1" x14ac:dyDescent="0.15"/>
    <row r="672" ht="12.75" customHeight="1" x14ac:dyDescent="0.15"/>
    <row r="673" ht="12.75" customHeight="1" x14ac:dyDescent="0.15"/>
    <row r="674" ht="12.75" customHeight="1" x14ac:dyDescent="0.15"/>
    <row r="675" ht="12.75" customHeight="1" x14ac:dyDescent="0.15"/>
    <row r="676" ht="12.75" customHeight="1" x14ac:dyDescent="0.15"/>
    <row r="677" ht="12.75" customHeight="1" x14ac:dyDescent="0.15"/>
    <row r="678" ht="12.75" customHeight="1" x14ac:dyDescent="0.15"/>
    <row r="679" ht="12.75" customHeight="1" x14ac:dyDescent="0.15"/>
    <row r="680" ht="12.75" customHeight="1" x14ac:dyDescent="0.15"/>
    <row r="681" ht="12.75" customHeight="1" x14ac:dyDescent="0.15"/>
    <row r="682" ht="12.75" customHeight="1" x14ac:dyDescent="0.15"/>
    <row r="683" ht="12.75" customHeight="1" x14ac:dyDescent="0.15"/>
    <row r="684" ht="12.75" customHeight="1" x14ac:dyDescent="0.15"/>
    <row r="685" ht="12.75" customHeight="1" x14ac:dyDescent="0.15"/>
    <row r="686" ht="12.75" customHeight="1" x14ac:dyDescent="0.15"/>
    <row r="687" ht="12.75" customHeight="1" x14ac:dyDescent="0.15"/>
    <row r="688" ht="12.75" customHeight="1" x14ac:dyDescent="0.15"/>
    <row r="689" ht="12.75" customHeight="1" x14ac:dyDescent="0.15"/>
    <row r="690" ht="12.75" customHeight="1" x14ac:dyDescent="0.15"/>
    <row r="691" ht="12.75" customHeight="1" x14ac:dyDescent="0.15"/>
    <row r="692" ht="12.75" customHeight="1" x14ac:dyDescent="0.15"/>
    <row r="693" ht="12.75" customHeight="1" x14ac:dyDescent="0.15"/>
    <row r="694" ht="12.75" customHeight="1" x14ac:dyDescent="0.15"/>
    <row r="695" ht="12.75" customHeight="1" x14ac:dyDescent="0.15"/>
    <row r="696" ht="12.75" customHeight="1" x14ac:dyDescent="0.15"/>
    <row r="697" ht="12.75" customHeight="1" x14ac:dyDescent="0.15"/>
    <row r="698" ht="12.75" customHeight="1" x14ac:dyDescent="0.15"/>
    <row r="699" ht="12.75" customHeight="1" x14ac:dyDescent="0.15"/>
    <row r="700" ht="12.75" customHeight="1" x14ac:dyDescent="0.15"/>
    <row r="701" ht="12.75" customHeight="1" x14ac:dyDescent="0.15"/>
    <row r="702" ht="12.75" customHeight="1" x14ac:dyDescent="0.15"/>
    <row r="703" ht="12.75" customHeight="1" x14ac:dyDescent="0.15"/>
    <row r="704" ht="12.75" customHeight="1" x14ac:dyDescent="0.15"/>
    <row r="705" ht="12.75" customHeight="1" x14ac:dyDescent="0.15"/>
    <row r="706" ht="12.75" customHeight="1" x14ac:dyDescent="0.15"/>
    <row r="707" ht="12.75" customHeight="1" x14ac:dyDescent="0.15"/>
    <row r="708" ht="12.75" customHeight="1" x14ac:dyDescent="0.15"/>
    <row r="709" ht="12.75" customHeight="1" x14ac:dyDescent="0.15"/>
    <row r="710" ht="12.75" customHeight="1" x14ac:dyDescent="0.15"/>
    <row r="711" ht="12.75" customHeight="1" x14ac:dyDescent="0.15"/>
    <row r="712" ht="12.75" customHeight="1" x14ac:dyDescent="0.15"/>
    <row r="713" ht="12.75" customHeight="1" x14ac:dyDescent="0.15"/>
    <row r="714" ht="12.75" customHeight="1" x14ac:dyDescent="0.15"/>
    <row r="715" ht="12.75" customHeight="1" x14ac:dyDescent="0.15"/>
    <row r="716" ht="12.75" customHeight="1" x14ac:dyDescent="0.15"/>
    <row r="717" ht="12.75" customHeight="1" x14ac:dyDescent="0.15"/>
    <row r="718" ht="12.75" customHeight="1" x14ac:dyDescent="0.15"/>
    <row r="719" ht="12.75" customHeight="1" x14ac:dyDescent="0.15"/>
    <row r="720" ht="12.75" customHeight="1" x14ac:dyDescent="0.15"/>
    <row r="721" ht="12.75" customHeight="1" x14ac:dyDescent="0.15"/>
    <row r="722" ht="12.75" customHeight="1" x14ac:dyDescent="0.15"/>
    <row r="723" ht="12.75" customHeight="1" x14ac:dyDescent="0.15"/>
    <row r="724" ht="12.75" customHeight="1" x14ac:dyDescent="0.15"/>
    <row r="725" ht="12.75" customHeight="1" x14ac:dyDescent="0.15"/>
    <row r="726" ht="12.75" customHeight="1" x14ac:dyDescent="0.15"/>
    <row r="727" ht="12.75" customHeight="1" x14ac:dyDescent="0.15"/>
    <row r="728" ht="12.75" customHeight="1" x14ac:dyDescent="0.15"/>
    <row r="729" ht="12.75" customHeight="1" x14ac:dyDescent="0.15"/>
    <row r="730" ht="12.75" customHeight="1" x14ac:dyDescent="0.15"/>
    <row r="731" ht="12.75" customHeight="1" x14ac:dyDescent="0.15"/>
    <row r="732" ht="12.75" customHeight="1" x14ac:dyDescent="0.15"/>
    <row r="733" ht="12.75" customHeight="1" x14ac:dyDescent="0.15"/>
    <row r="734" ht="12.75" customHeight="1" x14ac:dyDescent="0.15"/>
    <row r="735" ht="12.75" customHeight="1" x14ac:dyDescent="0.15"/>
    <row r="736" ht="12.75" customHeight="1" x14ac:dyDescent="0.15"/>
    <row r="737" ht="12.75" customHeight="1" x14ac:dyDescent="0.15"/>
    <row r="738" ht="12.75" customHeight="1" x14ac:dyDescent="0.15"/>
    <row r="739" ht="12.75" customHeight="1" x14ac:dyDescent="0.15"/>
    <row r="740" ht="12.75" customHeight="1" x14ac:dyDescent="0.15"/>
    <row r="741" ht="12.75" customHeight="1" x14ac:dyDescent="0.15"/>
    <row r="742" ht="12.75" customHeight="1" x14ac:dyDescent="0.15"/>
    <row r="743" ht="12.75" customHeight="1" x14ac:dyDescent="0.15"/>
    <row r="744" ht="12.75" customHeight="1" x14ac:dyDescent="0.15"/>
    <row r="745" ht="12.75" customHeight="1" x14ac:dyDescent="0.15"/>
    <row r="746" ht="12.75" customHeight="1" x14ac:dyDescent="0.15"/>
    <row r="747" ht="12.75" customHeight="1" x14ac:dyDescent="0.15"/>
    <row r="748" ht="12.75" customHeight="1" x14ac:dyDescent="0.15"/>
    <row r="749" ht="12.75" customHeight="1" x14ac:dyDescent="0.15"/>
    <row r="750" ht="12.75" customHeight="1" x14ac:dyDescent="0.15"/>
    <row r="751" ht="12.75" customHeight="1" x14ac:dyDescent="0.15"/>
    <row r="752" ht="12.75" customHeight="1" x14ac:dyDescent="0.15"/>
    <row r="753" ht="12.75" customHeight="1" x14ac:dyDescent="0.15"/>
    <row r="754" ht="12.75" customHeight="1" x14ac:dyDescent="0.15"/>
    <row r="755" ht="12.75" customHeight="1" x14ac:dyDescent="0.15"/>
    <row r="756" ht="12.75" customHeight="1" x14ac:dyDescent="0.15"/>
    <row r="757" ht="12.75" customHeight="1" x14ac:dyDescent="0.15"/>
    <row r="758" ht="12.75" customHeight="1" x14ac:dyDescent="0.15"/>
    <row r="759" ht="12.75" customHeight="1" x14ac:dyDescent="0.15"/>
    <row r="760" ht="12.75" customHeight="1" x14ac:dyDescent="0.15"/>
    <row r="761" ht="12.75" customHeight="1" x14ac:dyDescent="0.15"/>
    <row r="762" ht="12.75" customHeight="1" x14ac:dyDescent="0.15"/>
    <row r="763" ht="12.75" customHeight="1" x14ac:dyDescent="0.15"/>
    <row r="764" ht="12.75" customHeight="1" x14ac:dyDescent="0.15"/>
    <row r="765" ht="12.75" customHeight="1" x14ac:dyDescent="0.15"/>
    <row r="766" ht="12.75" customHeight="1" x14ac:dyDescent="0.15"/>
    <row r="767" ht="12.75" customHeight="1" x14ac:dyDescent="0.15"/>
    <row r="768" ht="12.75" customHeight="1" x14ac:dyDescent="0.15"/>
    <row r="769" ht="12.75" customHeight="1" x14ac:dyDescent="0.15"/>
    <row r="770" ht="12.75" customHeight="1" x14ac:dyDescent="0.15"/>
    <row r="771" ht="12.75" customHeight="1" x14ac:dyDescent="0.15"/>
    <row r="772" ht="12.75" customHeight="1" x14ac:dyDescent="0.15"/>
    <row r="773" ht="12.75" customHeight="1" x14ac:dyDescent="0.15"/>
    <row r="774" ht="12.75" customHeight="1" x14ac:dyDescent="0.15"/>
    <row r="775" ht="12.75" customHeight="1" x14ac:dyDescent="0.15"/>
    <row r="776" ht="12.75" customHeight="1" x14ac:dyDescent="0.15"/>
    <row r="777" ht="12.75" customHeight="1" x14ac:dyDescent="0.15"/>
    <row r="778" ht="12.75" customHeight="1" x14ac:dyDescent="0.15"/>
    <row r="779" ht="12.75" customHeight="1" x14ac:dyDescent="0.15"/>
    <row r="780" ht="12.75" customHeight="1" x14ac:dyDescent="0.15"/>
    <row r="781" ht="12.75" customHeight="1" x14ac:dyDescent="0.15"/>
    <row r="782" ht="12.75" customHeight="1" x14ac:dyDescent="0.15"/>
    <row r="783" ht="12.75" customHeight="1" x14ac:dyDescent="0.15"/>
    <row r="784" ht="12.75" customHeight="1" x14ac:dyDescent="0.15"/>
    <row r="785" ht="12.75" customHeight="1" x14ac:dyDescent="0.15"/>
    <row r="786" ht="12.75" customHeight="1" x14ac:dyDescent="0.15"/>
    <row r="787" ht="12.75" customHeight="1" x14ac:dyDescent="0.15"/>
    <row r="788" ht="12.75" customHeight="1" x14ac:dyDescent="0.15"/>
    <row r="789" ht="12.75" customHeight="1" x14ac:dyDescent="0.15"/>
    <row r="790" ht="12.75" customHeight="1" x14ac:dyDescent="0.15"/>
    <row r="791" ht="12.75" customHeight="1" x14ac:dyDescent="0.15"/>
    <row r="792" ht="12.75" customHeight="1" x14ac:dyDescent="0.15"/>
    <row r="793" ht="12.75" customHeight="1" x14ac:dyDescent="0.15"/>
    <row r="794" ht="12.75" customHeight="1" x14ac:dyDescent="0.15"/>
    <row r="795" ht="12.75" customHeight="1" x14ac:dyDescent="0.15"/>
    <row r="796" ht="12.75" customHeight="1" x14ac:dyDescent="0.15"/>
    <row r="797" ht="12.75" customHeight="1" x14ac:dyDescent="0.15"/>
    <row r="798" ht="12.75" customHeight="1" x14ac:dyDescent="0.15"/>
    <row r="799" ht="12.75" customHeight="1" x14ac:dyDescent="0.15"/>
    <row r="800" ht="12.75" customHeight="1" x14ac:dyDescent="0.15"/>
    <row r="801" ht="12.75" customHeight="1" x14ac:dyDescent="0.15"/>
    <row r="802" ht="12.75" customHeight="1" x14ac:dyDescent="0.15"/>
    <row r="803" ht="12.75" customHeight="1" x14ac:dyDescent="0.15"/>
    <row r="804" ht="12.75" customHeight="1" x14ac:dyDescent="0.15"/>
    <row r="805" ht="12.75" customHeight="1" x14ac:dyDescent="0.15"/>
    <row r="806" ht="12.75" customHeight="1" x14ac:dyDescent="0.15"/>
    <row r="807" ht="12.75" customHeight="1" x14ac:dyDescent="0.15"/>
    <row r="808" ht="12.75" customHeight="1" x14ac:dyDescent="0.15"/>
    <row r="809" ht="12.75" customHeight="1" x14ac:dyDescent="0.15"/>
    <row r="810" ht="12.75" customHeight="1" x14ac:dyDescent="0.15"/>
    <row r="811" ht="12.75" customHeight="1" x14ac:dyDescent="0.15"/>
    <row r="812" ht="12.75" customHeight="1" x14ac:dyDescent="0.15"/>
    <row r="813" ht="12.75" customHeight="1" x14ac:dyDescent="0.15"/>
    <row r="814" ht="12.75" customHeight="1" x14ac:dyDescent="0.15"/>
    <row r="815" ht="12.75" customHeight="1" x14ac:dyDescent="0.15"/>
    <row r="816" ht="12.75" customHeight="1" x14ac:dyDescent="0.15"/>
    <row r="817" ht="12.75" customHeight="1" x14ac:dyDescent="0.15"/>
    <row r="818" ht="12.75" customHeight="1" x14ac:dyDescent="0.15"/>
    <row r="819" ht="12.75" customHeight="1" x14ac:dyDescent="0.15"/>
    <row r="820" ht="12.75" customHeight="1" x14ac:dyDescent="0.15"/>
    <row r="821" ht="12.75" customHeight="1" x14ac:dyDescent="0.15"/>
    <row r="822" ht="12.75" customHeight="1" x14ac:dyDescent="0.15"/>
    <row r="823" ht="12.75" customHeight="1" x14ac:dyDescent="0.15"/>
    <row r="824" ht="12.75" customHeight="1" x14ac:dyDescent="0.15"/>
    <row r="825" ht="12.75" customHeight="1" x14ac:dyDescent="0.15"/>
    <row r="826" ht="12.75" customHeight="1" x14ac:dyDescent="0.15"/>
    <row r="827" ht="12.75" customHeight="1" x14ac:dyDescent="0.15"/>
    <row r="828" ht="12.75" customHeight="1" x14ac:dyDescent="0.15"/>
    <row r="829" ht="12.75" customHeight="1" x14ac:dyDescent="0.15"/>
    <row r="830" ht="12.75" customHeight="1" x14ac:dyDescent="0.15"/>
    <row r="831" ht="12.75" customHeight="1" x14ac:dyDescent="0.15"/>
    <row r="832" ht="12.75" customHeight="1" x14ac:dyDescent="0.15"/>
    <row r="833" ht="12.75" customHeight="1" x14ac:dyDescent="0.15"/>
    <row r="834" ht="12.75" customHeight="1" x14ac:dyDescent="0.15"/>
    <row r="835" ht="12.75" customHeight="1" x14ac:dyDescent="0.15"/>
    <row r="836" ht="12.75" customHeight="1" x14ac:dyDescent="0.15"/>
    <row r="837" ht="12.75" customHeight="1" x14ac:dyDescent="0.15"/>
    <row r="838" ht="12.75" customHeight="1" x14ac:dyDescent="0.15"/>
    <row r="839" ht="12.75" customHeight="1" x14ac:dyDescent="0.15"/>
    <row r="840" ht="12.75" customHeight="1" x14ac:dyDescent="0.15"/>
    <row r="841" ht="12.75" customHeight="1" x14ac:dyDescent="0.15"/>
    <row r="842" ht="12.75" customHeight="1" x14ac:dyDescent="0.15"/>
    <row r="843" ht="12.75" customHeight="1" x14ac:dyDescent="0.15"/>
    <row r="844" ht="12.75" customHeight="1" x14ac:dyDescent="0.15"/>
    <row r="845" ht="12.75" customHeight="1" x14ac:dyDescent="0.15"/>
    <row r="846" ht="12.75" customHeight="1" x14ac:dyDescent="0.15"/>
    <row r="847" ht="12.75" customHeight="1" x14ac:dyDescent="0.15"/>
    <row r="848" ht="12.75" customHeight="1" x14ac:dyDescent="0.15"/>
    <row r="849" ht="12.75" customHeight="1" x14ac:dyDescent="0.15"/>
    <row r="850" ht="12.75" customHeight="1" x14ac:dyDescent="0.15"/>
    <row r="851" ht="12.75" customHeight="1" x14ac:dyDescent="0.15"/>
    <row r="852" ht="12.75" customHeight="1" x14ac:dyDescent="0.15"/>
    <row r="853" ht="12.75" customHeight="1" x14ac:dyDescent="0.15"/>
    <row r="854" ht="12.75" customHeight="1" x14ac:dyDescent="0.15"/>
    <row r="855" ht="12.75" customHeight="1" x14ac:dyDescent="0.15"/>
    <row r="856" ht="12.75" customHeight="1" x14ac:dyDescent="0.15"/>
    <row r="857" ht="12.75" customHeight="1" x14ac:dyDescent="0.15"/>
    <row r="858" ht="12.75" customHeight="1" x14ac:dyDescent="0.15"/>
    <row r="859" ht="12.75" customHeight="1" x14ac:dyDescent="0.15"/>
    <row r="860" ht="12.75" customHeight="1" x14ac:dyDescent="0.15"/>
    <row r="861" ht="12.75" customHeight="1" x14ac:dyDescent="0.15"/>
    <row r="862" ht="12.75" customHeight="1" x14ac:dyDescent="0.15"/>
    <row r="863" ht="12.75" customHeight="1" x14ac:dyDescent="0.15"/>
    <row r="864" ht="12.75" customHeight="1" x14ac:dyDescent="0.15"/>
    <row r="865" ht="12.75" customHeight="1" x14ac:dyDescent="0.15"/>
    <row r="866" ht="12.75" customHeight="1" x14ac:dyDescent="0.15"/>
    <row r="867" ht="12.75" customHeight="1" x14ac:dyDescent="0.15"/>
    <row r="868" ht="12.75" customHeight="1" x14ac:dyDescent="0.15"/>
    <row r="869" ht="12.75" customHeight="1" x14ac:dyDescent="0.15"/>
    <row r="870" ht="12.75" customHeight="1" x14ac:dyDescent="0.15"/>
    <row r="871" ht="12.75" customHeight="1" x14ac:dyDescent="0.15"/>
    <row r="872" ht="12.75" customHeight="1" x14ac:dyDescent="0.15"/>
    <row r="873" ht="12.75" customHeight="1" x14ac:dyDescent="0.15"/>
    <row r="874" ht="12.75" customHeight="1" x14ac:dyDescent="0.15"/>
    <row r="875" ht="12.75" customHeight="1" x14ac:dyDescent="0.15"/>
    <row r="876" ht="12.75" customHeight="1" x14ac:dyDescent="0.15"/>
    <row r="877" ht="12.75" customHeight="1" x14ac:dyDescent="0.15"/>
    <row r="878" ht="12.75" customHeight="1" x14ac:dyDescent="0.15"/>
    <row r="879" ht="12.75" customHeight="1" x14ac:dyDescent="0.15"/>
    <row r="880" ht="12.75" customHeight="1" x14ac:dyDescent="0.15"/>
    <row r="881" ht="12.75" customHeight="1" x14ac:dyDescent="0.15"/>
    <row r="882" ht="12.75" customHeight="1" x14ac:dyDescent="0.15"/>
    <row r="883" ht="12.75" customHeight="1" x14ac:dyDescent="0.15"/>
    <row r="884" ht="12.75" customHeight="1" x14ac:dyDescent="0.15"/>
    <row r="885" ht="12.75" customHeight="1" x14ac:dyDescent="0.15"/>
    <row r="886" ht="12.75" customHeight="1" x14ac:dyDescent="0.15"/>
    <row r="887" ht="12.75" customHeight="1" x14ac:dyDescent="0.15"/>
    <row r="888" ht="12.75" customHeight="1" x14ac:dyDescent="0.15"/>
    <row r="889" ht="12.75" customHeight="1" x14ac:dyDescent="0.15"/>
    <row r="890" ht="12.75" customHeight="1" x14ac:dyDescent="0.15"/>
    <row r="891" ht="12.75" customHeight="1" x14ac:dyDescent="0.15"/>
    <row r="892" ht="12.75" customHeight="1" x14ac:dyDescent="0.15"/>
    <row r="893" ht="12.75" customHeight="1" x14ac:dyDescent="0.15"/>
    <row r="894" ht="12.75" customHeight="1" x14ac:dyDescent="0.15"/>
    <row r="895" ht="12.75" customHeight="1" x14ac:dyDescent="0.15"/>
    <row r="896" ht="12.75" customHeight="1" x14ac:dyDescent="0.15"/>
    <row r="897" ht="12.75" customHeight="1" x14ac:dyDescent="0.15"/>
    <row r="898" ht="12.75" customHeight="1" x14ac:dyDescent="0.15"/>
    <row r="899" ht="12.75" customHeight="1" x14ac:dyDescent="0.15"/>
    <row r="900" ht="12.75" customHeight="1" x14ac:dyDescent="0.15"/>
    <row r="901" ht="12.75" customHeight="1" x14ac:dyDescent="0.15"/>
    <row r="902" ht="12.75" customHeight="1" x14ac:dyDescent="0.15"/>
    <row r="903" ht="12.75" customHeight="1" x14ac:dyDescent="0.15"/>
    <row r="904" ht="12.75" customHeight="1" x14ac:dyDescent="0.15"/>
    <row r="905" ht="12.75" customHeight="1" x14ac:dyDescent="0.15"/>
    <row r="906" ht="12.75" customHeight="1" x14ac:dyDescent="0.15"/>
    <row r="907" ht="12.75" customHeight="1" x14ac:dyDescent="0.15"/>
    <row r="908" ht="12.75" customHeight="1" x14ac:dyDescent="0.15"/>
    <row r="909" ht="12.75" customHeight="1" x14ac:dyDescent="0.15"/>
    <row r="910" ht="12.75" customHeight="1" x14ac:dyDescent="0.15"/>
    <row r="911" ht="12.75" customHeight="1" x14ac:dyDescent="0.15"/>
    <row r="912" ht="12.75" customHeight="1" x14ac:dyDescent="0.15"/>
    <row r="913" ht="12.75" customHeight="1" x14ac:dyDescent="0.15"/>
    <row r="914" ht="12.75" customHeight="1" x14ac:dyDescent="0.15"/>
    <row r="915" ht="12.75" customHeight="1" x14ac:dyDescent="0.15"/>
    <row r="916" ht="12.75" customHeight="1" x14ac:dyDescent="0.15"/>
    <row r="917" ht="12.75" customHeight="1" x14ac:dyDescent="0.15"/>
    <row r="918" ht="12.75" customHeight="1" x14ac:dyDescent="0.15"/>
    <row r="919" ht="12.75" customHeight="1" x14ac:dyDescent="0.15"/>
    <row r="920" ht="12.75" customHeight="1" x14ac:dyDescent="0.15"/>
    <row r="921" ht="12.75" customHeight="1" x14ac:dyDescent="0.15"/>
    <row r="922" ht="12.75" customHeight="1" x14ac:dyDescent="0.15"/>
    <row r="923" ht="12.75" customHeight="1" x14ac:dyDescent="0.15"/>
    <row r="924" ht="12.75" customHeight="1" x14ac:dyDescent="0.15"/>
    <row r="925" ht="12.75" customHeight="1" x14ac:dyDescent="0.15"/>
    <row r="926" ht="12.75" customHeight="1" x14ac:dyDescent="0.15"/>
    <row r="927" ht="12.75" customHeight="1" x14ac:dyDescent="0.15"/>
    <row r="928" ht="12.75" customHeight="1" x14ac:dyDescent="0.15"/>
    <row r="929" ht="12.75" customHeight="1" x14ac:dyDescent="0.15"/>
    <row r="930" ht="12.75" customHeight="1" x14ac:dyDescent="0.15"/>
    <row r="931" ht="12.75" customHeight="1" x14ac:dyDescent="0.15"/>
    <row r="932" ht="12.75" customHeight="1" x14ac:dyDescent="0.15"/>
    <row r="933" ht="12.75" customHeight="1" x14ac:dyDescent="0.15"/>
    <row r="934" ht="12.75" customHeight="1" x14ac:dyDescent="0.15"/>
    <row r="935" ht="12.75" customHeight="1" x14ac:dyDescent="0.15"/>
    <row r="936" ht="12.75" customHeight="1" x14ac:dyDescent="0.15"/>
    <row r="937" ht="12.75" customHeight="1" x14ac:dyDescent="0.15"/>
    <row r="938" ht="12.75" customHeight="1" x14ac:dyDescent="0.15"/>
    <row r="939" ht="12.75" customHeight="1" x14ac:dyDescent="0.15"/>
    <row r="940" ht="12.75" customHeight="1" x14ac:dyDescent="0.15"/>
    <row r="941" ht="12.75" customHeight="1" x14ac:dyDescent="0.15"/>
    <row r="942" ht="12.75" customHeight="1" x14ac:dyDescent="0.15"/>
    <row r="943" ht="12.75" customHeight="1" x14ac:dyDescent="0.15"/>
    <row r="944" ht="12.75" customHeight="1" x14ac:dyDescent="0.15"/>
    <row r="945" ht="12.75" customHeight="1" x14ac:dyDescent="0.15"/>
    <row r="946" ht="12.75" customHeight="1" x14ac:dyDescent="0.15"/>
    <row r="947" ht="12.75" customHeight="1" x14ac:dyDescent="0.15"/>
    <row r="948" ht="12.75" customHeight="1" x14ac:dyDescent="0.15"/>
    <row r="949" ht="12.75" customHeight="1" x14ac:dyDescent="0.15"/>
    <row r="950" ht="12.75" customHeight="1" x14ac:dyDescent="0.15"/>
    <row r="951" ht="12.75" customHeight="1" x14ac:dyDescent="0.15"/>
    <row r="952" ht="12.75" customHeight="1" x14ac:dyDescent="0.15"/>
    <row r="953" ht="12.75" customHeight="1" x14ac:dyDescent="0.15"/>
    <row r="954" ht="12.75" customHeight="1" x14ac:dyDescent="0.15"/>
    <row r="955" ht="12.75" customHeight="1" x14ac:dyDescent="0.15"/>
    <row r="956" ht="12.75" customHeight="1" x14ac:dyDescent="0.15"/>
    <row r="957" ht="12.75" customHeight="1" x14ac:dyDescent="0.15"/>
    <row r="958" ht="12.75" customHeight="1" x14ac:dyDescent="0.15"/>
    <row r="959" ht="12.75" customHeight="1" x14ac:dyDescent="0.15"/>
    <row r="960" ht="12.75" customHeight="1" x14ac:dyDescent="0.15"/>
    <row r="961" ht="12.75" customHeight="1" x14ac:dyDescent="0.15"/>
    <row r="962" ht="12.75" customHeight="1" x14ac:dyDescent="0.15"/>
    <row r="963" ht="12.75" customHeight="1" x14ac:dyDescent="0.15"/>
    <row r="964" ht="12.75" customHeight="1" x14ac:dyDescent="0.15"/>
    <row r="965" ht="12.75" customHeight="1" x14ac:dyDescent="0.15"/>
    <row r="966" ht="12.75" customHeight="1" x14ac:dyDescent="0.15"/>
    <row r="967" ht="12.75" customHeight="1" x14ac:dyDescent="0.15"/>
    <row r="968" ht="12.75" customHeight="1" x14ac:dyDescent="0.15"/>
    <row r="969" ht="12.75" customHeight="1" x14ac:dyDescent="0.15"/>
    <row r="970" ht="12.75" customHeight="1" x14ac:dyDescent="0.15"/>
    <row r="971" ht="12.75" customHeight="1" x14ac:dyDescent="0.15"/>
    <row r="972" ht="12.75" customHeight="1" x14ac:dyDescent="0.15"/>
    <row r="973" ht="12.75" customHeight="1" x14ac:dyDescent="0.15"/>
    <row r="974" ht="12.75" customHeight="1" x14ac:dyDescent="0.15"/>
    <row r="975" ht="12.75" customHeight="1" x14ac:dyDescent="0.15"/>
    <row r="976" ht="12.75" customHeight="1" x14ac:dyDescent="0.15"/>
    <row r="977" ht="12.75" customHeight="1" x14ac:dyDescent="0.15"/>
    <row r="978" ht="12.75" customHeight="1" x14ac:dyDescent="0.15"/>
    <row r="979" ht="12.75" customHeight="1" x14ac:dyDescent="0.15"/>
    <row r="980" ht="12.75" customHeight="1" x14ac:dyDescent="0.15"/>
    <row r="981" ht="12.75" customHeight="1" x14ac:dyDescent="0.15"/>
    <row r="982" ht="12.75" customHeight="1" x14ac:dyDescent="0.15"/>
    <row r="983" ht="12.75" customHeight="1" x14ac:dyDescent="0.15"/>
    <row r="984" ht="12.75" customHeight="1" x14ac:dyDescent="0.15"/>
    <row r="985" ht="12.75" customHeight="1" x14ac:dyDescent="0.15"/>
    <row r="986" ht="12.75" customHeight="1" x14ac:dyDescent="0.15"/>
    <row r="987" ht="12.75" customHeight="1" x14ac:dyDescent="0.15"/>
    <row r="988" ht="12.75" customHeight="1" x14ac:dyDescent="0.15"/>
    <row r="989" ht="12.75" customHeight="1" x14ac:dyDescent="0.15"/>
    <row r="990" ht="12.75" customHeight="1" x14ac:dyDescent="0.15"/>
    <row r="991" ht="12.75" customHeight="1" x14ac:dyDescent="0.15"/>
    <row r="992" ht="12.75" customHeight="1" x14ac:dyDescent="0.15"/>
    <row r="993" ht="12.75" customHeight="1" x14ac:dyDescent="0.15"/>
    <row r="994" ht="12.75" customHeight="1" x14ac:dyDescent="0.15"/>
    <row r="995" ht="12.75" customHeight="1" x14ac:dyDescent="0.15"/>
    <row r="996" ht="12.75" customHeight="1" x14ac:dyDescent="0.15"/>
    <row r="997" ht="12.75" customHeight="1" x14ac:dyDescent="0.15"/>
  </sheetData>
  <phoneticPr fontId="10"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M74"/>
  <sheetViews>
    <sheetView zoomScaleNormal="100" workbookViewId="0">
      <selection activeCell="I18" sqref="I18"/>
    </sheetView>
  </sheetViews>
  <sheetFormatPr baseColWidth="10" defaultColWidth="12.5" defaultRowHeight="15" customHeight="1" x14ac:dyDescent="0.15"/>
  <cols>
    <col min="1" max="1" width="12.1640625" bestFit="1" customWidth="1"/>
    <col min="2" max="2" width="15.83203125" bestFit="1" customWidth="1"/>
    <col min="3" max="3" width="11.5" bestFit="1" customWidth="1"/>
    <col min="4" max="4" width="15.5" bestFit="1" customWidth="1"/>
    <col min="5" max="5" width="14.83203125" bestFit="1" customWidth="1"/>
    <col min="6" max="6" width="12.5" bestFit="1" customWidth="1"/>
    <col min="7" max="7" width="13.5" bestFit="1" customWidth="1"/>
    <col min="8" max="10" width="15.83203125" customWidth="1"/>
    <col min="11" max="11" width="16.83203125" bestFit="1" customWidth="1"/>
    <col min="12" max="12" width="25.1640625" bestFit="1" customWidth="1"/>
    <col min="13" max="13" width="36.33203125" bestFit="1" customWidth="1"/>
  </cols>
  <sheetData>
    <row r="1" spans="1:13" s="1" customFormat="1" ht="15" customHeight="1" x14ac:dyDescent="0.2">
      <c r="A1" s="16" t="s">
        <v>50</v>
      </c>
      <c r="B1" s="16" t="s">
        <v>51</v>
      </c>
      <c r="C1" s="16" t="s">
        <v>58</v>
      </c>
      <c r="D1" s="16" t="s">
        <v>59</v>
      </c>
      <c r="E1" s="16" t="s">
        <v>52</v>
      </c>
      <c r="F1" s="16" t="s">
        <v>53</v>
      </c>
      <c r="G1" s="16" t="s">
        <v>54</v>
      </c>
      <c r="H1" s="16" t="s">
        <v>55</v>
      </c>
      <c r="I1" s="16" t="s">
        <v>56</v>
      </c>
      <c r="J1" s="16" t="s">
        <v>57</v>
      </c>
      <c r="K1" s="16" t="s">
        <v>60</v>
      </c>
      <c r="L1" s="16" t="s">
        <v>129</v>
      </c>
      <c r="M1" s="16" t="s">
        <v>130</v>
      </c>
    </row>
    <row r="2" spans="1:13" ht="15" customHeight="1" x14ac:dyDescent="0.15">
      <c r="A2" s="17">
        <v>1</v>
      </c>
      <c r="B2" s="17" t="s">
        <v>40</v>
      </c>
      <c r="C2" s="7" t="s">
        <v>61</v>
      </c>
      <c r="D2" s="7" t="s">
        <v>65</v>
      </c>
      <c r="E2" s="18">
        <v>1109.0411150568182</v>
      </c>
      <c r="F2" s="19">
        <v>1109.0370699368061</v>
      </c>
      <c r="G2" s="17" t="s">
        <v>34</v>
      </c>
      <c r="H2" s="7"/>
      <c r="I2" s="7"/>
      <c r="J2" s="7"/>
      <c r="K2" s="17" t="s">
        <v>71</v>
      </c>
      <c r="L2" s="17" t="str">
        <f>VLOOKUP(C2,'LU CLASS'!$B$2:$E$25,4,FALSE)</f>
        <v>10-Tropical High Forest</v>
      </c>
      <c r="M2" s="17" t="str">
        <f>VLOOKUP(D2,'LU CLASS'!$B$2:$E$25,4,FALSE)</f>
        <v>51-Plantations commercial</v>
      </c>
    </row>
    <row r="3" spans="1:13" ht="15" customHeight="1" x14ac:dyDescent="0.15">
      <c r="A3" s="17">
        <v>2</v>
      </c>
      <c r="B3" s="17" t="s">
        <v>40</v>
      </c>
      <c r="C3" s="7" t="s">
        <v>61</v>
      </c>
      <c r="D3" s="7" t="s">
        <v>66</v>
      </c>
      <c r="E3" s="18">
        <v>3327.1233451704543</v>
      </c>
      <c r="F3" s="19">
        <v>1919.6117016602238</v>
      </c>
      <c r="G3" s="17" t="s">
        <v>34</v>
      </c>
      <c r="H3" s="7"/>
      <c r="I3" s="7"/>
      <c r="J3" s="7"/>
      <c r="K3" s="17" t="s">
        <v>63</v>
      </c>
      <c r="L3" s="17" t="str">
        <f>VLOOKUP(C3,'LU CLASS'!$B$2:$E$25,4,FALSE)</f>
        <v>10-Tropical High Forest</v>
      </c>
      <c r="M3" s="17" t="str">
        <f>VLOOKUP(D3,'LU CLASS'!$B$2:$E$25,4,FALSE)</f>
        <v>72-Cropland_annual</v>
      </c>
    </row>
    <row r="4" spans="1:13" ht="15" customHeight="1" x14ac:dyDescent="0.15">
      <c r="A4" s="17">
        <v>3</v>
      </c>
      <c r="B4" s="17" t="s">
        <v>40</v>
      </c>
      <c r="C4" s="7" t="s">
        <v>61</v>
      </c>
      <c r="D4" s="7" t="s">
        <v>62</v>
      </c>
      <c r="E4" s="20">
        <v>2218.0822301136363</v>
      </c>
      <c r="F4" s="21">
        <v>1567.8885166231225</v>
      </c>
      <c r="G4" s="17" t="s">
        <v>34</v>
      </c>
      <c r="H4" s="17"/>
      <c r="I4" s="17"/>
      <c r="J4" s="17"/>
      <c r="K4" s="17" t="s">
        <v>63</v>
      </c>
      <c r="L4" s="17" t="str">
        <f>VLOOKUP(C4,'LU CLASS'!$B$2:$E$25,4,FALSE)</f>
        <v>10-Tropical High Forest</v>
      </c>
      <c r="M4" s="17" t="str">
        <f>VLOOKUP(D4,'LU CLASS'!$B$2:$E$25,4,FALSE)</f>
        <v>80-Grassland</v>
      </c>
    </row>
    <row r="5" spans="1:13" ht="15" customHeight="1" x14ac:dyDescent="0.15">
      <c r="A5" s="17">
        <v>4</v>
      </c>
      <c r="B5" s="17" t="s">
        <v>40</v>
      </c>
      <c r="C5" s="7" t="s">
        <v>64</v>
      </c>
      <c r="D5" s="7" t="s">
        <v>66</v>
      </c>
      <c r="E5" s="18">
        <v>13699.848917843166</v>
      </c>
      <c r="F5" s="19">
        <v>4809.503886341101</v>
      </c>
      <c r="G5" s="17" t="s">
        <v>34</v>
      </c>
      <c r="H5" s="7"/>
      <c r="I5" s="7"/>
      <c r="J5" s="7"/>
      <c r="K5" s="17" t="s">
        <v>63</v>
      </c>
      <c r="L5" s="17" t="str">
        <f>VLOOKUP(C5,'LU CLASS'!$B$2:$E$25,4,FALSE)</f>
        <v>30-Woodlands</v>
      </c>
      <c r="M5" s="17" t="str">
        <f>VLOOKUP(D5,'LU CLASS'!$B$2:$E$25,4,FALSE)</f>
        <v>72-Cropland_annual</v>
      </c>
    </row>
    <row r="6" spans="1:13" ht="15" customHeight="1" x14ac:dyDescent="0.15">
      <c r="A6" s="17">
        <v>5</v>
      </c>
      <c r="B6" s="17" t="s">
        <v>40</v>
      </c>
      <c r="C6" s="7" t="s">
        <v>64</v>
      </c>
      <c r="D6" s="7" t="s">
        <v>62</v>
      </c>
      <c r="E6" s="20">
        <v>17528.694652696522</v>
      </c>
      <c r="F6" s="21">
        <v>6274.0776699341604</v>
      </c>
      <c r="G6" s="17" t="s">
        <v>34</v>
      </c>
      <c r="H6" s="17"/>
      <c r="I6" s="17"/>
      <c r="J6" s="17"/>
      <c r="K6" s="17" t="s">
        <v>63</v>
      </c>
      <c r="L6" s="17" t="str">
        <f>VLOOKUP(C6,'LU CLASS'!$B$2:$E$25,4,FALSE)</f>
        <v>30-Woodlands</v>
      </c>
      <c r="M6" s="17" t="str">
        <f>VLOOKUP(D6,'LU CLASS'!$B$2:$E$25,4,FALSE)</f>
        <v>80-Grassland</v>
      </c>
    </row>
    <row r="7" spans="1:13" ht="15" customHeight="1" x14ac:dyDescent="0.15">
      <c r="A7" s="17">
        <v>6</v>
      </c>
      <c r="B7" s="17" t="s">
        <v>40</v>
      </c>
      <c r="C7" s="7" t="s">
        <v>78</v>
      </c>
      <c r="D7" s="7" t="s">
        <v>79</v>
      </c>
      <c r="E7" s="18">
        <v>2572.3857580398162</v>
      </c>
      <c r="F7" s="19">
        <v>2572.3763755120031</v>
      </c>
      <c r="G7" s="17" t="s">
        <v>34</v>
      </c>
      <c r="H7" s="7"/>
      <c r="I7" s="7"/>
      <c r="J7" s="7"/>
      <c r="K7" s="17" t="s">
        <v>71</v>
      </c>
      <c r="L7" s="17" t="str">
        <f>VLOOKUP(C7,'LU CLASS'!$B$2:$E$25,4,FALSE)</f>
        <v>31-Woodlands</v>
      </c>
      <c r="M7" s="17" t="str">
        <f>VLOOKUP(D7,'LU CLASS'!$B$2:$E$25,4,FALSE)</f>
        <v>41-Woodlands_Degraded_by_fire</v>
      </c>
    </row>
    <row r="8" spans="1:13" ht="15" customHeight="1" x14ac:dyDescent="0.15">
      <c r="A8" s="17">
        <v>7</v>
      </c>
      <c r="B8" s="17" t="s">
        <v>40</v>
      </c>
      <c r="C8" s="7" t="s">
        <v>76</v>
      </c>
      <c r="D8" s="7" t="s">
        <v>77</v>
      </c>
      <c r="E8" s="18">
        <v>2572.3857580398162</v>
      </c>
      <c r="F8" s="19">
        <v>2572.3763755120031</v>
      </c>
      <c r="G8" s="17" t="s">
        <v>34</v>
      </c>
      <c r="H8" s="7"/>
      <c r="I8" s="7"/>
      <c r="J8" s="7"/>
      <c r="K8" s="17" t="s">
        <v>71</v>
      </c>
      <c r="L8" s="17" t="str">
        <f>VLOOKUP(C8,'LU CLASS'!$B$2:$E$25,4,FALSE)</f>
        <v>34-Woodlands</v>
      </c>
      <c r="M8" s="17" t="str">
        <f>VLOOKUP(D8,'LU CLASS'!$B$2:$E$25,4,FALSE)</f>
        <v>44-Woodlands_Degraded_by_other</v>
      </c>
    </row>
    <row r="9" spans="1:13" ht="15" customHeight="1" x14ac:dyDescent="0.15">
      <c r="A9" s="22">
        <v>8</v>
      </c>
      <c r="B9" s="22" t="s">
        <v>42</v>
      </c>
      <c r="C9" s="23" t="s">
        <v>61</v>
      </c>
      <c r="D9" s="23" t="s">
        <v>68</v>
      </c>
      <c r="E9" s="24">
        <v>1847.9485302390999</v>
      </c>
      <c r="F9" s="25">
        <v>1847.9417900258838</v>
      </c>
      <c r="G9" s="22" t="s">
        <v>34</v>
      </c>
      <c r="H9" s="23"/>
      <c r="I9" s="23"/>
      <c r="J9" s="23"/>
      <c r="K9" s="22" t="s">
        <v>63</v>
      </c>
      <c r="L9" s="22" t="str">
        <f>VLOOKUP(C9,'LU CLASS'!$B$2:$E$25,4,FALSE)</f>
        <v>10-Tropical High Forest</v>
      </c>
      <c r="M9" s="22" t="str">
        <f>VLOOKUP(D9,'LU CLASS'!$B$2:$E$25,4,FALSE)</f>
        <v>71-Cropland_perennial</v>
      </c>
    </row>
    <row r="10" spans="1:13" ht="15" customHeight="1" x14ac:dyDescent="0.15">
      <c r="A10" s="22">
        <v>9</v>
      </c>
      <c r="B10" s="22" t="s">
        <v>42</v>
      </c>
      <c r="C10" s="23" t="s">
        <v>61</v>
      </c>
      <c r="D10" s="23" t="s">
        <v>66</v>
      </c>
      <c r="E10" s="24">
        <v>2218.0822301136363</v>
      </c>
      <c r="F10" s="25">
        <v>1567.8885166231225</v>
      </c>
      <c r="G10" s="22" t="s">
        <v>34</v>
      </c>
      <c r="H10" s="23"/>
      <c r="I10" s="23"/>
      <c r="J10" s="23"/>
      <c r="K10" s="22" t="s">
        <v>63</v>
      </c>
      <c r="L10" s="22" t="str">
        <f>VLOOKUP(C10,'LU CLASS'!$B$2:$E$25,4,FALSE)</f>
        <v>10-Tropical High Forest</v>
      </c>
      <c r="M10" s="22" t="str">
        <f>VLOOKUP(D10,'LU CLASS'!$B$2:$E$25,4,FALSE)</f>
        <v>72-Cropland_annual</v>
      </c>
    </row>
    <row r="11" spans="1:13" ht="15" customHeight="1" x14ac:dyDescent="0.15">
      <c r="A11" s="22">
        <v>10</v>
      </c>
      <c r="B11" s="22" t="s">
        <v>42</v>
      </c>
      <c r="C11" s="23" t="s">
        <v>61</v>
      </c>
      <c r="D11" s="23" t="s">
        <v>62</v>
      </c>
      <c r="E11" s="26">
        <v>2218.0822301136363</v>
      </c>
      <c r="F11" s="27">
        <v>1567.8885166231225</v>
      </c>
      <c r="G11" s="22" t="s">
        <v>34</v>
      </c>
      <c r="H11" s="22"/>
      <c r="I11" s="22"/>
      <c r="J11" s="22"/>
      <c r="K11" s="22" t="s">
        <v>63</v>
      </c>
      <c r="L11" s="22" t="str">
        <f>VLOOKUP(C11,'LU CLASS'!$B$2:$E$25,4,FALSE)</f>
        <v>10-Tropical High Forest</v>
      </c>
      <c r="M11" s="22" t="str">
        <f>VLOOKUP(D11,'LU CLASS'!$B$2:$E$25,4,FALSE)</f>
        <v>80-Grassland</v>
      </c>
    </row>
    <row r="12" spans="1:13" ht="15" customHeight="1" x14ac:dyDescent="0.15">
      <c r="A12" s="22">
        <v>11</v>
      </c>
      <c r="B12" s="22" t="s">
        <v>42</v>
      </c>
      <c r="C12" s="23" t="s">
        <v>69</v>
      </c>
      <c r="D12" s="23" t="s">
        <v>70</v>
      </c>
      <c r="E12" s="24">
        <v>3327.1233451704543</v>
      </c>
      <c r="F12" s="25">
        <v>1919.6117016602238</v>
      </c>
      <c r="G12" s="22" t="s">
        <v>34</v>
      </c>
      <c r="H12" s="23"/>
      <c r="I12" s="23"/>
      <c r="J12" s="23"/>
      <c r="K12" s="22" t="s">
        <v>71</v>
      </c>
      <c r="L12" s="22" t="str">
        <f>VLOOKUP(C12,'LU CLASS'!$B$2:$E$25,4,FALSE)</f>
        <v>12-Tropical High Forest</v>
      </c>
      <c r="M12" s="22" t="str">
        <f>VLOOKUP(D12,'LU CLASS'!$B$2:$E$25,4,FALSE)</f>
        <v>22-Tropical High Forest Degraded by logging</v>
      </c>
    </row>
    <row r="13" spans="1:13" ht="15" customHeight="1" x14ac:dyDescent="0.15">
      <c r="A13" s="22">
        <v>12</v>
      </c>
      <c r="B13" s="22" t="s">
        <v>42</v>
      </c>
      <c r="C13" s="23" t="s">
        <v>64</v>
      </c>
      <c r="D13" s="23" t="s">
        <v>68</v>
      </c>
      <c r="E13" s="24">
        <v>2218.0822301136363</v>
      </c>
      <c r="F13" s="25">
        <v>1567.8885166231225</v>
      </c>
      <c r="G13" s="22" t="s">
        <v>34</v>
      </c>
      <c r="H13" s="23"/>
      <c r="I13" s="23"/>
      <c r="J13" s="23"/>
      <c r="K13" s="22" t="s">
        <v>63</v>
      </c>
      <c r="L13" s="22" t="str">
        <f>VLOOKUP(C13,'LU CLASS'!$B$2:$E$25,4,FALSE)</f>
        <v>30-Woodlands</v>
      </c>
      <c r="M13" s="22" t="str">
        <f>VLOOKUP(D13,'LU CLASS'!$B$2:$E$25,4,FALSE)</f>
        <v>71-Cropland_perennial</v>
      </c>
    </row>
    <row r="14" spans="1:13" ht="15" customHeight="1" x14ac:dyDescent="0.15">
      <c r="A14" s="22">
        <v>13</v>
      </c>
      <c r="B14" s="22" t="s">
        <v>42</v>
      </c>
      <c r="C14" s="23" t="s">
        <v>64</v>
      </c>
      <c r="D14" s="23" t="s">
        <v>66</v>
      </c>
      <c r="E14" s="24">
        <v>27438.10982948829</v>
      </c>
      <c r="F14" s="25">
        <v>6806.9615681731084</v>
      </c>
      <c r="G14" s="22" t="s">
        <v>34</v>
      </c>
      <c r="H14" s="23"/>
      <c r="I14" s="23"/>
      <c r="J14" s="23"/>
      <c r="K14" s="22" t="s">
        <v>63</v>
      </c>
      <c r="L14" s="22" t="str">
        <f>VLOOKUP(C14,'LU CLASS'!$B$2:$E$25,4,FALSE)</f>
        <v>30-Woodlands</v>
      </c>
      <c r="M14" s="22" t="str">
        <f>VLOOKUP(D14,'LU CLASS'!$B$2:$E$25,4,FALSE)</f>
        <v>72-Cropland_annual</v>
      </c>
    </row>
    <row r="15" spans="1:13" ht="15" customHeight="1" x14ac:dyDescent="0.15">
      <c r="A15" s="22">
        <v>14</v>
      </c>
      <c r="B15" s="22" t="s">
        <v>42</v>
      </c>
      <c r="C15" s="23" t="s">
        <v>64</v>
      </c>
      <c r="D15" s="23" t="s">
        <v>62</v>
      </c>
      <c r="E15" s="26">
        <v>31549.304233548231</v>
      </c>
      <c r="F15" s="27">
        <v>7918.9423734819602</v>
      </c>
      <c r="G15" s="22" t="s">
        <v>34</v>
      </c>
      <c r="H15" s="22"/>
      <c r="I15" s="22"/>
      <c r="J15" s="22"/>
      <c r="K15" s="22" t="s">
        <v>63</v>
      </c>
      <c r="L15" s="22" t="str">
        <f>VLOOKUP(C15,'LU CLASS'!$B$2:$E$25,4,FALSE)</f>
        <v>30-Woodlands</v>
      </c>
      <c r="M15" s="22" t="str">
        <f>VLOOKUP(D15,'LU CLASS'!$B$2:$E$25,4,FALSE)</f>
        <v>80-Grassland</v>
      </c>
    </row>
    <row r="16" spans="1:13" ht="15" customHeight="1" x14ac:dyDescent="0.15">
      <c r="A16" s="22">
        <v>15</v>
      </c>
      <c r="B16" s="22" t="s">
        <v>42</v>
      </c>
      <c r="C16" s="23" t="s">
        <v>72</v>
      </c>
      <c r="D16" s="23" t="s">
        <v>73</v>
      </c>
      <c r="E16" s="24">
        <v>7415.7359273767925</v>
      </c>
      <c r="F16" s="25">
        <v>3849.857375583907</v>
      </c>
      <c r="G16" s="22" t="s">
        <v>34</v>
      </c>
      <c r="H16" s="23"/>
      <c r="I16" s="23"/>
      <c r="J16" s="23"/>
      <c r="K16" s="22" t="s">
        <v>71</v>
      </c>
      <c r="L16" s="22" t="str">
        <f>VLOOKUP(C16,'LU CLASS'!$B$2:$E$25,4,FALSE)</f>
        <v>32-Woodlands</v>
      </c>
      <c r="M16" s="22" t="str">
        <f>VLOOKUP(D16,'LU CLASS'!$B$2:$E$25,4,FALSE)</f>
        <v>42-Woodlands_Degraded_by_logging</v>
      </c>
    </row>
    <row r="17" spans="1:13" ht="15" customHeight="1" x14ac:dyDescent="0.15">
      <c r="A17" s="22">
        <v>16</v>
      </c>
      <c r="B17" s="22" t="s">
        <v>42</v>
      </c>
      <c r="C17" s="23" t="s">
        <v>65</v>
      </c>
      <c r="D17" s="23" t="s">
        <v>66</v>
      </c>
      <c r="E17" s="26">
        <v>1109.0411150568182</v>
      </c>
      <c r="F17" s="27">
        <v>1109.0370699368061</v>
      </c>
      <c r="G17" s="22" t="s">
        <v>34</v>
      </c>
      <c r="H17" s="22"/>
      <c r="I17" s="22"/>
      <c r="J17" s="22"/>
      <c r="K17" s="22" t="s">
        <v>63</v>
      </c>
      <c r="L17" s="22" t="str">
        <f>VLOOKUP(C17,'LU CLASS'!$B$2:$E$25,4,FALSE)</f>
        <v>51-Plantations commercial</v>
      </c>
      <c r="M17" s="22" t="str">
        <f>VLOOKUP(D17,'LU CLASS'!$B$2:$E$25,4,FALSE)</f>
        <v>72-Cropland_annual</v>
      </c>
    </row>
    <row r="18" spans="1:13" ht="15" customHeight="1" x14ac:dyDescent="0.15">
      <c r="A18" s="22">
        <v>17</v>
      </c>
      <c r="B18" s="22" t="s">
        <v>42</v>
      </c>
      <c r="C18" s="23" t="s">
        <v>67</v>
      </c>
      <c r="D18" s="23" t="s">
        <v>68</v>
      </c>
      <c r="E18" s="24">
        <v>1109.0411150568182</v>
      </c>
      <c r="F18" s="25">
        <v>1109.0370699368061</v>
      </c>
      <c r="G18" s="22" t="s">
        <v>34</v>
      </c>
      <c r="H18" s="23"/>
      <c r="I18" s="23"/>
      <c r="J18" s="23"/>
      <c r="K18" s="22" t="s">
        <v>63</v>
      </c>
      <c r="L18" s="22" t="str">
        <f>VLOOKUP(C18,'LU CLASS'!$B$2:$E$25,4,FALSE)</f>
        <v>52-Plantations non commercial</v>
      </c>
      <c r="M18" s="22" t="str">
        <f>VLOOKUP(D18,'LU CLASS'!$B$2:$E$25,4,FALSE)</f>
        <v>71-Cropland_perennial</v>
      </c>
    </row>
    <row r="19" spans="1:13" ht="15" customHeight="1" x14ac:dyDescent="0.15">
      <c r="A19" s="17">
        <v>18</v>
      </c>
      <c r="B19" s="17" t="s">
        <v>43</v>
      </c>
      <c r="C19" s="7" t="s">
        <v>61</v>
      </c>
      <c r="D19" s="7" t="s">
        <v>68</v>
      </c>
      <c r="E19" s="18">
        <v>1109.0411150568182</v>
      </c>
      <c r="F19" s="19">
        <v>1109.0370699368061</v>
      </c>
      <c r="G19" s="17" t="s">
        <v>34</v>
      </c>
      <c r="H19" s="7"/>
      <c r="I19" s="7"/>
      <c r="J19" s="7"/>
      <c r="K19" s="17" t="s">
        <v>63</v>
      </c>
      <c r="L19" s="17" t="str">
        <f>VLOOKUP(C19,'LU CLASS'!$B$2:$E$25,4,FALSE)</f>
        <v>10-Tropical High Forest</v>
      </c>
      <c r="M19" s="17" t="str">
        <f>VLOOKUP(D19,'LU CLASS'!$B$2:$E$25,4,FALSE)</f>
        <v>71-Cropland_perennial</v>
      </c>
    </row>
    <row r="20" spans="1:13" ht="15" customHeight="1" x14ac:dyDescent="0.15">
      <c r="A20" s="17">
        <v>19</v>
      </c>
      <c r="B20" s="17" t="s">
        <v>43</v>
      </c>
      <c r="C20" s="7" t="s">
        <v>64</v>
      </c>
      <c r="D20" s="7" t="s">
        <v>66</v>
      </c>
      <c r="E20" s="18">
        <v>9241.1026357622904</v>
      </c>
      <c r="F20" s="19">
        <v>3599.8036292855313</v>
      </c>
      <c r="G20" s="17" t="s">
        <v>34</v>
      </c>
      <c r="H20" s="7"/>
      <c r="I20" s="7"/>
      <c r="J20" s="7"/>
      <c r="K20" s="17" t="s">
        <v>63</v>
      </c>
      <c r="L20" s="17" t="str">
        <f>VLOOKUP(C20,'LU CLASS'!$B$2:$E$25,4,FALSE)</f>
        <v>30-Woodlands</v>
      </c>
      <c r="M20" s="17" t="str">
        <f>VLOOKUP(D20,'LU CLASS'!$B$2:$E$25,4,FALSE)</f>
        <v>72-Cropland_annual</v>
      </c>
    </row>
    <row r="21" spans="1:13" ht="15" customHeight="1" x14ac:dyDescent="0.15">
      <c r="A21" s="17">
        <v>20</v>
      </c>
      <c r="B21" s="17" t="s">
        <v>43</v>
      </c>
      <c r="C21" s="7" t="s">
        <v>64</v>
      </c>
      <c r="D21" s="7" t="s">
        <v>62</v>
      </c>
      <c r="E21" s="20">
        <v>16203.522322751101</v>
      </c>
      <c r="F21" s="21">
        <v>5976.0736393746247</v>
      </c>
      <c r="G21" s="17" t="s">
        <v>34</v>
      </c>
      <c r="H21" s="17"/>
      <c r="I21" s="17"/>
      <c r="J21" s="17"/>
      <c r="K21" s="17" t="s">
        <v>63</v>
      </c>
      <c r="L21" s="17" t="str">
        <f>VLOOKUP(C21,'LU CLASS'!$B$2:$E$25,4,FALSE)</f>
        <v>30-Woodlands</v>
      </c>
      <c r="M21" s="17" t="str">
        <f>VLOOKUP(D21,'LU CLASS'!$B$2:$E$25,4,FALSE)</f>
        <v>80-Grassland</v>
      </c>
    </row>
    <row r="22" spans="1:13" ht="15" customHeight="1" x14ac:dyDescent="0.15">
      <c r="A22" s="17">
        <v>21</v>
      </c>
      <c r="B22" s="17" t="s">
        <v>43</v>
      </c>
      <c r="C22" s="7" t="s">
        <v>72</v>
      </c>
      <c r="D22" s="7" t="s">
        <v>73</v>
      </c>
      <c r="E22" s="18">
        <v>1847.9485302390999</v>
      </c>
      <c r="F22" s="19">
        <v>1847.9417900258838</v>
      </c>
      <c r="G22" s="17" t="s">
        <v>34</v>
      </c>
      <c r="H22" s="7"/>
      <c r="I22" s="7"/>
      <c r="J22" s="7"/>
      <c r="K22" s="17" t="s">
        <v>71</v>
      </c>
      <c r="L22" s="17" t="str">
        <f>VLOOKUP(C22,'LU CLASS'!$B$2:$E$25,4,FALSE)</f>
        <v>32-Woodlands</v>
      </c>
      <c r="M22" s="17" t="str">
        <f>VLOOKUP(D22,'LU CLASS'!$B$2:$E$25,4,FALSE)</f>
        <v>42-Woodlands_Degraded_by_logging</v>
      </c>
    </row>
    <row r="23" spans="1:13" ht="15" customHeight="1" x14ac:dyDescent="0.15">
      <c r="A23" s="17">
        <v>22</v>
      </c>
      <c r="B23" s="17" t="s">
        <v>43</v>
      </c>
      <c r="C23" s="7" t="s">
        <v>74</v>
      </c>
      <c r="D23" s="7" t="s">
        <v>75</v>
      </c>
      <c r="E23" s="18">
        <v>2572.3857580398162</v>
      </c>
      <c r="F23" s="19">
        <v>2572.3763755120031</v>
      </c>
      <c r="G23" s="17" t="s">
        <v>34</v>
      </c>
      <c r="H23" s="7"/>
      <c r="I23" s="7"/>
      <c r="J23" s="7"/>
      <c r="K23" s="17" t="s">
        <v>71</v>
      </c>
      <c r="L23" s="17" t="str">
        <f>VLOOKUP(C23,'LU CLASS'!$B$2:$E$25,4,FALSE)</f>
        <v>33-Woodlands</v>
      </c>
      <c r="M23" s="17" t="str">
        <f>VLOOKUP(D23,'LU CLASS'!$B$2:$E$25,4,FALSE)</f>
        <v>43-Woodlands_Degraded_by_charcoal</v>
      </c>
    </row>
    <row r="24" spans="1:13" ht="15" customHeight="1" x14ac:dyDescent="0.15">
      <c r="A24" s="17">
        <v>23</v>
      </c>
      <c r="B24" s="17" t="s">
        <v>43</v>
      </c>
      <c r="C24" s="7" t="s">
        <v>76</v>
      </c>
      <c r="D24" s="7" t="s">
        <v>77</v>
      </c>
      <c r="E24" s="18">
        <v>1847.9485302390999</v>
      </c>
      <c r="F24" s="19">
        <v>1847.9417900258838</v>
      </c>
      <c r="G24" s="17" t="s">
        <v>34</v>
      </c>
      <c r="H24" s="7"/>
      <c r="I24" s="7"/>
      <c r="J24" s="7"/>
      <c r="K24" s="17" t="s">
        <v>71</v>
      </c>
      <c r="L24" s="17" t="str">
        <f>VLOOKUP(C24,'LU CLASS'!$B$2:$E$25,4,FALSE)</f>
        <v>34-Woodlands</v>
      </c>
      <c r="M24" s="17" t="str">
        <f>VLOOKUP(D24,'LU CLASS'!$B$2:$E$25,4,FALSE)</f>
        <v>44-Woodlands_Degraded_by_other</v>
      </c>
    </row>
    <row r="25" spans="1:13" ht="15" customHeight="1" x14ac:dyDescent="0.15">
      <c r="A25" s="17">
        <v>24</v>
      </c>
      <c r="B25" s="17" t="s">
        <v>43</v>
      </c>
      <c r="C25" s="7" t="s">
        <v>65</v>
      </c>
      <c r="D25" s="7" t="s">
        <v>62</v>
      </c>
      <c r="E25" s="20">
        <v>2572.3857580398162</v>
      </c>
      <c r="F25" s="21">
        <v>2572.3763755120031</v>
      </c>
      <c r="G25" s="17" t="s">
        <v>34</v>
      </c>
      <c r="H25" s="17"/>
      <c r="I25" s="17"/>
      <c r="J25" s="17"/>
      <c r="K25" s="17" t="s">
        <v>63</v>
      </c>
      <c r="L25" s="17" t="str">
        <f>VLOOKUP(C25,'LU CLASS'!$B$2:$E$25,4,FALSE)</f>
        <v>51-Plantations commercial</v>
      </c>
      <c r="M25" s="17" t="str">
        <f>VLOOKUP(D25,'LU CLASS'!$B$2:$E$25,4,FALSE)</f>
        <v>80-Grassland</v>
      </c>
    </row>
    <row r="26" spans="1:13" ht="15" customHeight="1" x14ac:dyDescent="0.15">
      <c r="A26" s="17">
        <v>25</v>
      </c>
      <c r="B26" s="17" t="s">
        <v>43</v>
      </c>
      <c r="C26" s="7" t="s">
        <v>67</v>
      </c>
      <c r="D26" s="7" t="s">
        <v>66</v>
      </c>
      <c r="E26" s="18">
        <v>4804.9381755350178</v>
      </c>
      <c r="F26" s="19">
        <v>2838.26224656164</v>
      </c>
      <c r="G26" s="17" t="s">
        <v>34</v>
      </c>
      <c r="H26" s="7"/>
      <c r="I26" s="7"/>
      <c r="J26" s="7"/>
      <c r="K26" s="17" t="s">
        <v>63</v>
      </c>
      <c r="L26" s="17" t="str">
        <f>VLOOKUP(C26,'LU CLASS'!$B$2:$E$25,4,FALSE)</f>
        <v>52-Plantations non commercial</v>
      </c>
      <c r="M26" s="17" t="str">
        <f>VLOOKUP(D26,'LU CLASS'!$B$2:$E$25,4,FALSE)</f>
        <v>72-Cropland_annual</v>
      </c>
    </row>
    <row r="27" spans="1:13" ht="15" customHeight="1" x14ac:dyDescent="0.15">
      <c r="A27" s="22">
        <v>26</v>
      </c>
      <c r="B27" s="22" t="s">
        <v>44</v>
      </c>
      <c r="C27" s="23" t="s">
        <v>61</v>
      </c>
      <c r="D27" s="23" t="s">
        <v>65</v>
      </c>
      <c r="E27" s="24">
        <v>1847.9485302390999</v>
      </c>
      <c r="F27" s="25">
        <v>1847.9417900258838</v>
      </c>
      <c r="G27" s="22" t="s">
        <v>34</v>
      </c>
      <c r="H27" s="23"/>
      <c r="I27" s="23"/>
      <c r="J27" s="23"/>
      <c r="K27" s="22" t="s">
        <v>71</v>
      </c>
      <c r="L27" s="22" t="str">
        <f>VLOOKUP(C27,'LU CLASS'!$B$2:$E$25,4,FALSE)</f>
        <v>10-Tropical High Forest</v>
      </c>
      <c r="M27" s="22" t="str">
        <f>VLOOKUP(D27,'LU CLASS'!$B$2:$E$25,4,FALSE)</f>
        <v>51-Plantations commercial</v>
      </c>
    </row>
    <row r="28" spans="1:13" ht="15" customHeight="1" x14ac:dyDescent="0.15">
      <c r="A28" s="22">
        <v>27</v>
      </c>
      <c r="B28" s="22" t="s">
        <v>44</v>
      </c>
      <c r="C28" s="23" t="s">
        <v>61</v>
      </c>
      <c r="D28" s="23" t="s">
        <v>66</v>
      </c>
      <c r="E28" s="24">
        <v>1109.0411150568182</v>
      </c>
      <c r="F28" s="25">
        <v>1109.0370699368061</v>
      </c>
      <c r="G28" s="22" t="s">
        <v>34</v>
      </c>
      <c r="H28" s="23"/>
      <c r="I28" s="23"/>
      <c r="J28" s="23"/>
      <c r="K28" s="22" t="s">
        <v>63</v>
      </c>
      <c r="L28" s="22" t="str">
        <f>VLOOKUP(C28,'LU CLASS'!$B$2:$E$25,4,FALSE)</f>
        <v>10-Tropical High Forest</v>
      </c>
      <c r="M28" s="22" t="str">
        <f>VLOOKUP(D28,'LU CLASS'!$B$2:$E$25,4,FALSE)</f>
        <v>72-Cropland_annual</v>
      </c>
    </row>
    <row r="29" spans="1:13" ht="15" customHeight="1" x14ac:dyDescent="0.15">
      <c r="A29" s="22">
        <v>28</v>
      </c>
      <c r="B29" s="22" t="s">
        <v>44</v>
      </c>
      <c r="C29" s="23" t="s">
        <v>61</v>
      </c>
      <c r="D29" s="23" t="s">
        <v>62</v>
      </c>
      <c r="E29" s="26">
        <v>1109.0411150568182</v>
      </c>
      <c r="F29" s="27">
        <v>1109.0370699368061</v>
      </c>
      <c r="G29" s="22" t="s">
        <v>34</v>
      </c>
      <c r="H29" s="22"/>
      <c r="I29" s="22"/>
      <c r="J29" s="22"/>
      <c r="K29" s="22" t="s">
        <v>63</v>
      </c>
      <c r="L29" s="22" t="str">
        <f>VLOOKUP(C29,'LU CLASS'!$B$2:$E$25,4,FALSE)</f>
        <v>10-Tropical High Forest</v>
      </c>
      <c r="M29" s="22" t="str">
        <f>VLOOKUP(D29,'LU CLASS'!$B$2:$E$25,4,FALSE)</f>
        <v>80-Grassland</v>
      </c>
    </row>
    <row r="30" spans="1:13" ht="15" customHeight="1" x14ac:dyDescent="0.15">
      <c r="A30" s="22">
        <v>29</v>
      </c>
      <c r="B30" s="22" t="s">
        <v>44</v>
      </c>
      <c r="C30" s="23" t="s">
        <v>64</v>
      </c>
      <c r="D30" s="23" t="s">
        <v>68</v>
      </c>
      <c r="E30" s="24">
        <v>10128.788897268085</v>
      </c>
      <c r="F30" s="25">
        <v>4407.3924913735846</v>
      </c>
      <c r="G30" s="22" t="s">
        <v>34</v>
      </c>
      <c r="H30" s="23"/>
      <c r="I30" s="23"/>
      <c r="J30" s="23"/>
      <c r="K30" s="22" t="s">
        <v>63</v>
      </c>
      <c r="L30" s="22" t="str">
        <f>VLOOKUP(C30,'LU CLASS'!$B$2:$E$25,4,FALSE)</f>
        <v>30-Woodlands</v>
      </c>
      <c r="M30" s="22" t="str">
        <f>VLOOKUP(D30,'LU CLASS'!$B$2:$E$25,4,FALSE)</f>
        <v>71-Cropland_perennial</v>
      </c>
    </row>
    <row r="31" spans="1:13" ht="15" customHeight="1" x14ac:dyDescent="0.15">
      <c r="A31" s="22">
        <v>30</v>
      </c>
      <c r="B31" s="22" t="s">
        <v>44</v>
      </c>
      <c r="C31" s="23" t="s">
        <v>64</v>
      </c>
      <c r="D31" s="23" t="s">
        <v>66</v>
      </c>
      <c r="E31" s="24">
        <v>15565.155631273446</v>
      </c>
      <c r="F31" s="25">
        <v>6279.9733207515274</v>
      </c>
      <c r="G31" s="22" t="s">
        <v>34</v>
      </c>
      <c r="H31" s="23"/>
      <c r="I31" s="23"/>
      <c r="J31" s="23"/>
      <c r="K31" s="22" t="s">
        <v>63</v>
      </c>
      <c r="L31" s="22" t="str">
        <f>VLOOKUP(C31,'LU CLASS'!$B$2:$E$25,4,FALSE)</f>
        <v>30-Woodlands</v>
      </c>
      <c r="M31" s="22" t="str">
        <f>VLOOKUP(D31,'LU CLASS'!$B$2:$E$25,4,FALSE)</f>
        <v>72-Cropland_annual</v>
      </c>
    </row>
    <row r="32" spans="1:13" ht="15" customHeight="1" x14ac:dyDescent="0.15">
      <c r="A32" s="22">
        <v>31</v>
      </c>
      <c r="B32" s="22" t="s">
        <v>44</v>
      </c>
      <c r="C32" s="23" t="s">
        <v>64</v>
      </c>
      <c r="D32" s="23" t="s">
        <v>62</v>
      </c>
      <c r="E32" s="26">
        <v>20471.214110610876</v>
      </c>
      <c r="F32" s="27">
        <v>6708.8092852125292</v>
      </c>
      <c r="G32" s="22" t="s">
        <v>34</v>
      </c>
      <c r="H32" s="22"/>
      <c r="I32" s="22"/>
      <c r="J32" s="22"/>
      <c r="K32" s="22" t="s">
        <v>63</v>
      </c>
      <c r="L32" s="22" t="str">
        <f>VLOOKUP(C32,'LU CLASS'!$B$2:$E$25,4,FALSE)</f>
        <v>30-Woodlands</v>
      </c>
      <c r="M32" s="22" t="str">
        <f>VLOOKUP(D32,'LU CLASS'!$B$2:$E$25,4,FALSE)</f>
        <v>80-Grassland</v>
      </c>
    </row>
    <row r="33" spans="1:13" ht="15" customHeight="1" x14ac:dyDescent="0.15">
      <c r="A33" s="22">
        <v>32</v>
      </c>
      <c r="B33" s="22" t="s">
        <v>44</v>
      </c>
      <c r="C33" s="23" t="s">
        <v>78</v>
      </c>
      <c r="D33" s="23" t="s">
        <v>79</v>
      </c>
      <c r="E33" s="24">
        <v>2995.4016390978768</v>
      </c>
      <c r="F33" s="25">
        <v>2188.1829912498301</v>
      </c>
      <c r="G33" s="22" t="s">
        <v>34</v>
      </c>
      <c r="H33" s="23"/>
      <c r="I33" s="23"/>
      <c r="J33" s="23"/>
      <c r="K33" s="22" t="s">
        <v>71</v>
      </c>
      <c r="L33" s="22" t="str">
        <f>VLOOKUP(C33,'LU CLASS'!$B$2:$E$25,4,FALSE)</f>
        <v>31-Woodlands</v>
      </c>
      <c r="M33" s="22" t="str">
        <f>VLOOKUP(D33,'LU CLASS'!$B$2:$E$25,4,FALSE)</f>
        <v>41-Woodlands_Degraded_by_fire</v>
      </c>
    </row>
    <row r="34" spans="1:13" ht="15" customHeight="1" x14ac:dyDescent="0.15">
      <c r="A34" s="22">
        <v>33</v>
      </c>
      <c r="B34" s="22" t="s">
        <v>44</v>
      </c>
      <c r="C34" s="23" t="s">
        <v>72</v>
      </c>
      <c r="D34" s="23" t="s">
        <v>73</v>
      </c>
      <c r="E34" s="24">
        <v>2995.4016390978768</v>
      </c>
      <c r="F34" s="25">
        <v>2188.1829912498301</v>
      </c>
      <c r="G34" s="22" t="s">
        <v>34</v>
      </c>
      <c r="H34" s="23"/>
      <c r="I34" s="23"/>
      <c r="J34" s="23"/>
      <c r="K34" s="22" t="s">
        <v>71</v>
      </c>
      <c r="L34" s="22" t="str">
        <f>VLOOKUP(C34,'LU CLASS'!$B$2:$E$25,4,FALSE)</f>
        <v>32-Woodlands</v>
      </c>
      <c r="M34" s="22" t="str">
        <f>VLOOKUP(D34,'LU CLASS'!$B$2:$E$25,4,FALSE)</f>
        <v>42-Woodlands_Degraded_by_logging</v>
      </c>
    </row>
    <row r="35" spans="1:13" ht="15" customHeight="1" x14ac:dyDescent="0.15">
      <c r="A35" s="22">
        <v>34</v>
      </c>
      <c r="B35" s="22" t="s">
        <v>44</v>
      </c>
      <c r="C35" s="23" t="s">
        <v>65</v>
      </c>
      <c r="D35" s="23" t="s">
        <v>66</v>
      </c>
      <c r="E35" s="26">
        <v>1109.0411150568182</v>
      </c>
      <c r="F35" s="27">
        <v>1109.0370699368061</v>
      </c>
      <c r="G35" s="22" t="s">
        <v>34</v>
      </c>
      <c r="H35" s="22"/>
      <c r="I35" s="22"/>
      <c r="J35" s="22"/>
      <c r="K35" s="22" t="s">
        <v>63</v>
      </c>
      <c r="L35" s="22" t="str">
        <f>VLOOKUP(C35,'LU CLASS'!$B$2:$E$25,4,FALSE)</f>
        <v>51-Plantations commercial</v>
      </c>
      <c r="M35" s="22" t="str">
        <f>VLOOKUP(D35,'LU CLASS'!$B$2:$E$25,4,FALSE)</f>
        <v>72-Cropland_annual</v>
      </c>
    </row>
    <row r="36" spans="1:13" ht="15" customHeight="1" x14ac:dyDescent="0.15">
      <c r="A36" s="22">
        <v>35</v>
      </c>
      <c r="B36" s="22" t="s">
        <v>44</v>
      </c>
      <c r="C36" s="23" t="s">
        <v>67</v>
      </c>
      <c r="D36" s="23" t="s">
        <v>66</v>
      </c>
      <c r="E36" s="24">
        <v>4066.0307603527363</v>
      </c>
      <c r="F36" s="25">
        <v>2423.5432335966298</v>
      </c>
      <c r="G36" s="22" t="s">
        <v>34</v>
      </c>
      <c r="H36" s="23"/>
      <c r="I36" s="23"/>
      <c r="J36" s="23"/>
      <c r="K36" s="22" t="s">
        <v>63</v>
      </c>
      <c r="L36" s="22" t="str">
        <f>VLOOKUP(C36,'LU CLASS'!$B$2:$E$25,4,FALSE)</f>
        <v>52-Plantations non commercial</v>
      </c>
      <c r="M36" s="22" t="str">
        <f>VLOOKUP(D36,'LU CLASS'!$B$2:$E$25,4,FALSE)</f>
        <v>72-Cropland_annual</v>
      </c>
    </row>
    <row r="37" spans="1:13" ht="15" customHeight="1" x14ac:dyDescent="0.15">
      <c r="A37" s="17">
        <v>36</v>
      </c>
      <c r="B37" s="17" t="s">
        <v>45</v>
      </c>
      <c r="C37" s="7" t="s">
        <v>61</v>
      </c>
      <c r="D37" s="7" t="s">
        <v>68</v>
      </c>
      <c r="E37" s="18">
        <v>1109.0411150568182</v>
      </c>
      <c r="F37" s="19">
        <v>1109.0370699368061</v>
      </c>
      <c r="G37" s="17" t="s">
        <v>34</v>
      </c>
      <c r="H37" s="7"/>
      <c r="I37" s="7"/>
      <c r="J37" s="7"/>
      <c r="K37" s="17" t="s">
        <v>63</v>
      </c>
      <c r="L37" s="17" t="str">
        <f>VLOOKUP(C37,'LU CLASS'!$B$2:$E$25,4,FALSE)</f>
        <v>10-Tropical High Forest</v>
      </c>
      <c r="M37" s="17" t="str">
        <f>VLOOKUP(D37,'LU CLASS'!$B$2:$E$25,4,FALSE)</f>
        <v>71-Cropland_perennial</v>
      </c>
    </row>
    <row r="38" spans="1:13" ht="15" customHeight="1" x14ac:dyDescent="0.15">
      <c r="A38" s="17">
        <v>37</v>
      </c>
      <c r="B38" s="17" t="s">
        <v>45</v>
      </c>
      <c r="C38" s="7" t="s">
        <v>61</v>
      </c>
      <c r="D38" s="7" t="s">
        <v>66</v>
      </c>
      <c r="E38" s="18">
        <v>4804.9381755350178</v>
      </c>
      <c r="F38" s="19">
        <v>2838.26224656164</v>
      </c>
      <c r="G38" s="17" t="s">
        <v>34</v>
      </c>
      <c r="H38" s="7"/>
      <c r="I38" s="7"/>
      <c r="J38" s="7"/>
      <c r="K38" s="17" t="s">
        <v>63</v>
      </c>
      <c r="L38" s="17" t="str">
        <f>VLOOKUP(C38,'LU CLASS'!$B$2:$E$25,4,FALSE)</f>
        <v>10-Tropical High Forest</v>
      </c>
      <c r="M38" s="17" t="str">
        <f>VLOOKUP(D38,'LU CLASS'!$B$2:$E$25,4,FALSE)</f>
        <v>72-Cropland_annual</v>
      </c>
    </row>
    <row r="39" spans="1:13" ht="15" customHeight="1" x14ac:dyDescent="0.15">
      <c r="A39" s="17">
        <v>38</v>
      </c>
      <c r="B39" s="17" t="s">
        <v>45</v>
      </c>
      <c r="C39" s="7" t="s">
        <v>64</v>
      </c>
      <c r="D39" s="7" t="s">
        <v>66</v>
      </c>
      <c r="E39" s="18">
        <v>27452.580016869855</v>
      </c>
      <c r="F39" s="19">
        <v>6732.1157362376198</v>
      </c>
      <c r="G39" s="17" t="s">
        <v>34</v>
      </c>
      <c r="H39" s="7"/>
      <c r="I39" s="7"/>
      <c r="J39" s="7"/>
      <c r="K39" s="17" t="s">
        <v>63</v>
      </c>
      <c r="L39" s="17" t="str">
        <f>VLOOKUP(C39,'LU CLASS'!$B$2:$E$25,4,FALSE)</f>
        <v>30-Woodlands</v>
      </c>
      <c r="M39" s="17" t="str">
        <f>VLOOKUP(D39,'LU CLASS'!$B$2:$E$25,4,FALSE)</f>
        <v>72-Cropland_annual</v>
      </c>
    </row>
    <row r="40" spans="1:13" ht="15" customHeight="1" x14ac:dyDescent="0.15">
      <c r="A40" s="17">
        <v>39</v>
      </c>
      <c r="B40" s="17" t="s">
        <v>45</v>
      </c>
      <c r="C40" s="7" t="s">
        <v>64</v>
      </c>
      <c r="D40" s="7" t="s">
        <v>62</v>
      </c>
      <c r="E40" s="20">
        <v>16573.656022625637</v>
      </c>
      <c r="F40" s="21">
        <v>5894.9609538434879</v>
      </c>
      <c r="G40" s="17" t="s">
        <v>34</v>
      </c>
      <c r="H40" s="17"/>
      <c r="I40" s="17"/>
      <c r="J40" s="17"/>
      <c r="K40" s="17" t="s">
        <v>63</v>
      </c>
      <c r="L40" s="17" t="str">
        <f>VLOOKUP(C40,'LU CLASS'!$B$2:$E$25,4,FALSE)</f>
        <v>30-Woodlands</v>
      </c>
      <c r="M40" s="17" t="str">
        <f>VLOOKUP(D40,'LU CLASS'!$B$2:$E$25,4,FALSE)</f>
        <v>80-Grassland</v>
      </c>
    </row>
    <row r="41" spans="1:13" ht="15" customHeight="1" x14ac:dyDescent="0.15">
      <c r="A41" s="17">
        <v>40</v>
      </c>
      <c r="B41" s="17" t="s">
        <v>45</v>
      </c>
      <c r="C41" s="7" t="s">
        <v>72</v>
      </c>
      <c r="D41" s="7" t="s">
        <v>73</v>
      </c>
      <c r="E41" s="18">
        <v>6691.2986995760766</v>
      </c>
      <c r="F41" s="19">
        <v>3407.8720992536423</v>
      </c>
      <c r="G41" s="17" t="s">
        <v>34</v>
      </c>
      <c r="H41" s="7"/>
      <c r="I41" s="7"/>
      <c r="J41" s="7"/>
      <c r="K41" s="17" t="s">
        <v>71</v>
      </c>
      <c r="L41" s="17" t="str">
        <f>VLOOKUP(C41,'LU CLASS'!$B$2:$E$25,4,FALSE)</f>
        <v>32-Woodlands</v>
      </c>
      <c r="M41" s="17" t="str">
        <f>VLOOKUP(D41,'LU CLASS'!$B$2:$E$25,4,FALSE)</f>
        <v>42-Woodlands_Degraded_by_logging</v>
      </c>
    </row>
    <row r="42" spans="1:13" ht="15" customHeight="1" x14ac:dyDescent="0.15">
      <c r="A42" s="17">
        <v>41</v>
      </c>
      <c r="B42" s="17" t="s">
        <v>45</v>
      </c>
      <c r="C42" s="7" t="s">
        <v>76</v>
      </c>
      <c r="D42" s="7" t="s">
        <v>77</v>
      </c>
      <c r="E42" s="18">
        <v>5567.787397137693</v>
      </c>
      <c r="F42" s="19">
        <v>3377.2145906239803</v>
      </c>
      <c r="G42" s="17" t="s">
        <v>34</v>
      </c>
      <c r="H42" s="7"/>
      <c r="I42" s="7"/>
      <c r="J42" s="7"/>
      <c r="K42" s="17" t="s">
        <v>71</v>
      </c>
      <c r="L42" s="17" t="str">
        <f>VLOOKUP(C42,'LU CLASS'!$B$2:$E$25,4,FALSE)</f>
        <v>34-Woodlands</v>
      </c>
      <c r="M42" s="17" t="str">
        <f>VLOOKUP(D42,'LU CLASS'!$B$2:$E$25,4,FALSE)</f>
        <v>44-Woodlands_Degraded_by_other</v>
      </c>
    </row>
    <row r="43" spans="1:13" ht="15" customHeight="1" x14ac:dyDescent="0.15">
      <c r="A43" s="17">
        <v>42</v>
      </c>
      <c r="B43" s="17" t="s">
        <v>45</v>
      </c>
      <c r="C43" s="7" t="s">
        <v>65</v>
      </c>
      <c r="D43" s="7" t="s">
        <v>66</v>
      </c>
      <c r="E43" s="20">
        <v>1109.0411150568182</v>
      </c>
      <c r="F43" s="21">
        <v>1109.0370699368061</v>
      </c>
      <c r="G43" s="17" t="s">
        <v>34</v>
      </c>
      <c r="H43" s="17"/>
      <c r="I43" s="17"/>
      <c r="J43" s="17"/>
      <c r="K43" s="17" t="s">
        <v>63</v>
      </c>
      <c r="L43" s="17" t="str">
        <f>VLOOKUP(C43,'LU CLASS'!$B$2:$E$25,4,FALSE)</f>
        <v>51-Plantations commercial</v>
      </c>
      <c r="M43" s="17" t="str">
        <f>VLOOKUP(D43,'LU CLASS'!$B$2:$E$25,4,FALSE)</f>
        <v>72-Cropland_annual</v>
      </c>
    </row>
    <row r="44" spans="1:13" ht="15" customHeight="1" x14ac:dyDescent="0.15">
      <c r="A44" s="17">
        <v>43</v>
      </c>
      <c r="B44" s="17" t="s">
        <v>45</v>
      </c>
      <c r="C44" s="7" t="s">
        <v>65</v>
      </c>
      <c r="D44" s="7" t="s">
        <v>62</v>
      </c>
      <c r="E44" s="20">
        <v>1109.0411150568182</v>
      </c>
      <c r="F44" s="21">
        <v>1109.0370699368061</v>
      </c>
      <c r="G44" s="17" t="s">
        <v>34</v>
      </c>
      <c r="H44" s="17"/>
      <c r="I44" s="17"/>
      <c r="J44" s="17"/>
      <c r="K44" s="17" t="s">
        <v>63</v>
      </c>
      <c r="L44" s="17" t="str">
        <f>VLOOKUP(C44,'LU CLASS'!$B$2:$E$25,4,FALSE)</f>
        <v>51-Plantations commercial</v>
      </c>
      <c r="M44" s="17" t="str">
        <f>VLOOKUP(D44,'LU CLASS'!$B$2:$E$25,4,FALSE)</f>
        <v>80-Grassland</v>
      </c>
    </row>
    <row r="45" spans="1:13" ht="15" customHeight="1" x14ac:dyDescent="0.15">
      <c r="A45" s="17">
        <v>44</v>
      </c>
      <c r="B45" s="17" t="s">
        <v>45</v>
      </c>
      <c r="C45" s="7" t="s">
        <v>67</v>
      </c>
      <c r="D45" s="7" t="s">
        <v>66</v>
      </c>
      <c r="E45" s="18">
        <v>2218.0822301136363</v>
      </c>
      <c r="F45" s="19">
        <v>1567.8885166231225</v>
      </c>
      <c r="G45" s="17" t="s">
        <v>34</v>
      </c>
      <c r="H45" s="7"/>
      <c r="I45" s="7"/>
      <c r="J45" s="7"/>
      <c r="K45" s="17" t="s">
        <v>63</v>
      </c>
      <c r="L45" s="17" t="str">
        <f>VLOOKUP(C45,'LU CLASS'!$B$2:$E$25,4,FALSE)</f>
        <v>52-Plantations non commercial</v>
      </c>
      <c r="M45" s="17" t="str">
        <f>VLOOKUP(D45,'LU CLASS'!$B$2:$E$25,4,FALSE)</f>
        <v>72-Cropland_annual</v>
      </c>
    </row>
    <row r="46" spans="1:13" ht="15" customHeight="1" x14ac:dyDescent="0.15">
      <c r="A46" s="17">
        <v>45</v>
      </c>
      <c r="B46" s="17" t="s">
        <v>45</v>
      </c>
      <c r="C46" s="7" t="s">
        <v>67</v>
      </c>
      <c r="D46" s="7" t="s">
        <v>62</v>
      </c>
      <c r="E46" s="20">
        <v>1109.0411150568182</v>
      </c>
      <c r="F46" s="21">
        <v>1109.0370699368061</v>
      </c>
      <c r="G46" s="17" t="s">
        <v>34</v>
      </c>
      <c r="H46" s="17"/>
      <c r="I46" s="17"/>
      <c r="J46" s="17"/>
      <c r="K46" s="17" t="s">
        <v>63</v>
      </c>
      <c r="L46" s="17" t="str">
        <f>VLOOKUP(C46,'LU CLASS'!$B$2:$E$25,4,FALSE)</f>
        <v>52-Plantations non commercial</v>
      </c>
      <c r="M46" s="17" t="str">
        <f>VLOOKUP(D46,'LU CLASS'!$B$2:$E$25,4,FALSE)</f>
        <v>80-Grassland</v>
      </c>
    </row>
    <row r="47" spans="1:13" ht="15" customHeight="1" x14ac:dyDescent="0.15">
      <c r="A47" s="22">
        <v>46</v>
      </c>
      <c r="B47" s="23" t="s">
        <v>46</v>
      </c>
      <c r="C47" s="23" t="s">
        <v>61</v>
      </c>
      <c r="D47" s="23" t="s">
        <v>66</v>
      </c>
      <c r="E47" s="24">
        <v>2218.0822301136363</v>
      </c>
      <c r="F47" s="25">
        <v>1567.8989100889855</v>
      </c>
      <c r="G47" s="23" t="s">
        <v>34</v>
      </c>
      <c r="H47" s="23"/>
      <c r="I47" s="23"/>
      <c r="J47" s="23"/>
      <c r="K47" s="22" t="s">
        <v>63</v>
      </c>
      <c r="L47" s="22" t="str">
        <f>VLOOKUP(C47,'LU CLASS'!$B$2:$E$25,4,FALSE)</f>
        <v>10-Tropical High Forest</v>
      </c>
      <c r="M47" s="22" t="str">
        <f>VLOOKUP(D47,'LU CLASS'!$B$2:$E$25,4,FALSE)</f>
        <v>72-Cropland_annual</v>
      </c>
    </row>
    <row r="48" spans="1:13" ht="15" customHeight="1" x14ac:dyDescent="0.15">
      <c r="A48" s="22">
        <v>47</v>
      </c>
      <c r="B48" s="23" t="s">
        <v>46</v>
      </c>
      <c r="C48" s="23" t="s">
        <v>61</v>
      </c>
      <c r="D48" s="23" t="s">
        <v>62</v>
      </c>
      <c r="E48" s="24">
        <v>2218.0822301136363</v>
      </c>
      <c r="F48" s="25">
        <v>1567.8989100889855</v>
      </c>
      <c r="G48" s="23" t="s">
        <v>34</v>
      </c>
      <c r="H48" s="23"/>
      <c r="I48" s="23"/>
      <c r="J48" s="23"/>
      <c r="K48" s="22" t="s">
        <v>63</v>
      </c>
      <c r="L48" s="22" t="str">
        <f>VLOOKUP(C48,'LU CLASS'!$B$2:$E$25,4,FALSE)</f>
        <v>10-Tropical High Forest</v>
      </c>
      <c r="M48" s="22" t="str">
        <f>VLOOKUP(D48,'LU CLASS'!$B$2:$E$25,4,FALSE)</f>
        <v>80-Grassland</v>
      </c>
    </row>
    <row r="49" spans="1:13" ht="15" customHeight="1" x14ac:dyDescent="0.15">
      <c r="A49" s="22">
        <v>48</v>
      </c>
      <c r="B49" s="23" t="s">
        <v>46</v>
      </c>
      <c r="C49" s="23" t="s">
        <v>64</v>
      </c>
      <c r="D49" s="23" t="s">
        <v>66</v>
      </c>
      <c r="E49" s="24">
        <v>17510.981959727244</v>
      </c>
      <c r="F49" s="25">
        <v>5511.3933617013945</v>
      </c>
      <c r="G49" s="23" t="s">
        <v>34</v>
      </c>
      <c r="H49" s="23"/>
      <c r="I49" s="23"/>
      <c r="J49" s="23"/>
      <c r="K49" s="22" t="s">
        <v>63</v>
      </c>
      <c r="L49" s="22" t="str">
        <f>VLOOKUP(C49,'LU CLASS'!$B$2:$E$25,4,FALSE)</f>
        <v>30-Woodlands</v>
      </c>
      <c r="M49" s="22" t="str">
        <f>VLOOKUP(D49,'LU CLASS'!$B$2:$E$25,4,FALSE)</f>
        <v>72-Cropland_annual</v>
      </c>
    </row>
    <row r="50" spans="1:13" ht="15" customHeight="1" x14ac:dyDescent="0.15">
      <c r="A50" s="22">
        <v>49</v>
      </c>
      <c r="B50" s="23" t="s">
        <v>46</v>
      </c>
      <c r="C50" s="23" t="s">
        <v>64</v>
      </c>
      <c r="D50" s="23" t="s">
        <v>62</v>
      </c>
      <c r="E50" s="24">
        <v>10426.967738423</v>
      </c>
      <c r="F50" s="25">
        <v>3803.487763618738</v>
      </c>
      <c r="G50" s="23" t="s">
        <v>34</v>
      </c>
      <c r="H50" s="23"/>
      <c r="I50" s="23"/>
      <c r="J50" s="23"/>
      <c r="K50" s="22" t="s">
        <v>63</v>
      </c>
      <c r="L50" s="22" t="str">
        <f>VLOOKUP(C50,'LU CLASS'!$B$2:$E$25,4,FALSE)</f>
        <v>30-Woodlands</v>
      </c>
      <c r="M50" s="22" t="str">
        <f>VLOOKUP(D50,'LU CLASS'!$B$2:$E$25,4,FALSE)</f>
        <v>80-Grassland</v>
      </c>
    </row>
    <row r="51" spans="1:13" ht="15" customHeight="1" x14ac:dyDescent="0.15">
      <c r="A51" s="22">
        <v>50</v>
      </c>
      <c r="B51" s="23" t="s">
        <v>46</v>
      </c>
      <c r="C51" s="23" t="s">
        <v>78</v>
      </c>
      <c r="D51" s="23" t="s">
        <v>79</v>
      </c>
      <c r="E51" s="24">
        <v>1109</v>
      </c>
      <c r="F51" s="25">
        <v>1109.0723820441096</v>
      </c>
      <c r="G51" s="23" t="s">
        <v>34</v>
      </c>
      <c r="H51" s="23"/>
      <c r="I51" s="23"/>
      <c r="J51" s="23"/>
      <c r="K51" s="22" t="s">
        <v>71</v>
      </c>
      <c r="L51" s="22" t="str">
        <f>VLOOKUP(C51,'LU CLASS'!$B$2:$E$25,4,FALSE)</f>
        <v>31-Woodlands</v>
      </c>
      <c r="M51" s="22" t="str">
        <f>VLOOKUP(D51,'LU CLASS'!$B$2:$E$25,4,FALSE)</f>
        <v>41-Woodlands_Degraded_by_fire</v>
      </c>
    </row>
    <row r="52" spans="1:13" ht="15" customHeight="1" x14ac:dyDescent="0.15">
      <c r="A52" s="22">
        <v>51</v>
      </c>
      <c r="B52" s="23" t="s">
        <v>46</v>
      </c>
      <c r="C52" s="23" t="s">
        <v>72</v>
      </c>
      <c r="D52" s="23" t="s">
        <v>73</v>
      </c>
      <c r="E52" s="24">
        <v>6047</v>
      </c>
      <c r="F52" s="25">
        <v>4323.2948940149017</v>
      </c>
      <c r="G52" s="23" t="s">
        <v>34</v>
      </c>
      <c r="H52" s="23"/>
      <c r="I52" s="23"/>
      <c r="J52" s="23"/>
      <c r="K52" s="22" t="s">
        <v>71</v>
      </c>
      <c r="L52" s="22" t="str">
        <f>VLOOKUP(C52,'LU CLASS'!$B$2:$E$25,4,FALSE)</f>
        <v>32-Woodlands</v>
      </c>
      <c r="M52" s="22" t="str">
        <f>VLOOKUP(D52,'LU CLASS'!$B$2:$E$25,4,FALSE)</f>
        <v>42-Woodlands_Degraded_by_logging</v>
      </c>
    </row>
    <row r="53" spans="1:13" ht="15" customHeight="1" x14ac:dyDescent="0.15">
      <c r="A53" s="22">
        <v>52</v>
      </c>
      <c r="B53" s="23" t="s">
        <v>46</v>
      </c>
      <c r="C53" s="23" t="s">
        <v>76</v>
      </c>
      <c r="D53" s="23" t="s">
        <v>77</v>
      </c>
      <c r="E53" s="24">
        <v>2218.0822338888702</v>
      </c>
      <c r="F53" s="25">
        <v>1567.8989100889855</v>
      </c>
      <c r="G53" s="23" t="s">
        <v>34</v>
      </c>
      <c r="H53" s="23"/>
      <c r="I53" s="23"/>
      <c r="J53" s="23"/>
      <c r="K53" s="22" t="s">
        <v>71</v>
      </c>
      <c r="L53" s="22" t="str">
        <f>VLOOKUP(C53,'LU CLASS'!$B$2:$E$25,4,FALSE)</f>
        <v>34-Woodlands</v>
      </c>
      <c r="M53" s="22" t="str">
        <f>VLOOKUP(D53,'LU CLASS'!$B$2:$E$25,4,FALSE)</f>
        <v>44-Woodlands_Degraded_by_other</v>
      </c>
    </row>
    <row r="54" spans="1:13" ht="15" customHeight="1" x14ac:dyDescent="0.15">
      <c r="A54" s="22">
        <v>53</v>
      </c>
      <c r="B54" s="23" t="s">
        <v>46</v>
      </c>
      <c r="C54" s="23" t="s">
        <v>65</v>
      </c>
      <c r="D54" s="23" t="s">
        <v>66</v>
      </c>
      <c r="E54" s="24">
        <v>1109.0723820441096</v>
      </c>
      <c r="F54" s="25">
        <v>1109.0723820441096</v>
      </c>
      <c r="G54" s="23" t="s">
        <v>34</v>
      </c>
      <c r="H54" s="23"/>
      <c r="I54" s="23"/>
      <c r="J54" s="23"/>
      <c r="K54" s="22" t="s">
        <v>63</v>
      </c>
      <c r="L54" s="22" t="str">
        <f>VLOOKUP(C54,'LU CLASS'!$B$2:$E$25,4,FALSE)</f>
        <v>51-Plantations commercial</v>
      </c>
      <c r="M54" s="22" t="str">
        <f>VLOOKUP(D54,'LU CLASS'!$B$2:$E$25,4,FALSE)</f>
        <v>72-Cropland_annual</v>
      </c>
    </row>
    <row r="55" spans="1:13" ht="15" customHeight="1" x14ac:dyDescent="0.15">
      <c r="A55" s="22">
        <v>54</v>
      </c>
      <c r="B55" s="23" t="s">
        <v>46</v>
      </c>
      <c r="C55" s="23" t="s">
        <v>67</v>
      </c>
      <c r="D55" s="23" t="s">
        <v>66</v>
      </c>
      <c r="E55" s="24">
        <v>3327.1233451704543</v>
      </c>
      <c r="F55" s="25">
        <v>1919.5872525257344</v>
      </c>
      <c r="G55" s="23" t="s">
        <v>34</v>
      </c>
      <c r="H55" s="23"/>
      <c r="I55" s="23"/>
      <c r="J55" s="23"/>
      <c r="K55" s="22" t="s">
        <v>63</v>
      </c>
      <c r="L55" s="22" t="str">
        <f>VLOOKUP(C55,'LU CLASS'!$B$2:$E$25,4,FALSE)</f>
        <v>52-Plantations non commercial</v>
      </c>
      <c r="M55" s="22" t="str">
        <f>VLOOKUP(D55,'LU CLASS'!$B$2:$E$25,4,FALSE)</f>
        <v>72-Cropland_annual</v>
      </c>
    </row>
    <row r="56" spans="1:13" ht="15" customHeight="1" x14ac:dyDescent="0.15">
      <c r="A56" s="22">
        <v>55</v>
      </c>
      <c r="B56" s="23" t="s">
        <v>46</v>
      </c>
      <c r="C56" s="23" t="s">
        <v>67</v>
      </c>
      <c r="D56" s="23" t="s">
        <v>62</v>
      </c>
      <c r="E56" s="24">
        <v>1109.0411150568182</v>
      </c>
      <c r="F56" s="25">
        <v>1109.0723820441096</v>
      </c>
      <c r="G56" s="23" t="s">
        <v>34</v>
      </c>
      <c r="H56" s="23"/>
      <c r="I56" s="23"/>
      <c r="J56" s="23"/>
      <c r="K56" s="22" t="s">
        <v>63</v>
      </c>
      <c r="L56" s="22" t="str">
        <f>VLOOKUP(C56,'LU CLASS'!$B$2:$E$25,4,FALSE)</f>
        <v>52-Plantations non commercial</v>
      </c>
      <c r="M56" s="22" t="str">
        <f>VLOOKUP(D56,'LU CLASS'!$B$2:$E$25,4,FALSE)</f>
        <v>80-Grassland</v>
      </c>
    </row>
    <row r="57" spans="1:13" ht="15" customHeight="1" x14ac:dyDescent="0.15">
      <c r="A57" s="17">
        <v>56</v>
      </c>
      <c r="B57" s="7" t="s">
        <v>47</v>
      </c>
      <c r="C57" s="7" t="s">
        <v>61</v>
      </c>
      <c r="D57" s="7" t="s">
        <v>66</v>
      </c>
      <c r="E57" s="18">
        <v>2995.4016390978768</v>
      </c>
      <c r="F57" s="19">
        <v>2188.2035887964166</v>
      </c>
      <c r="G57" s="7" t="s">
        <v>34</v>
      </c>
      <c r="H57" s="7"/>
      <c r="I57" s="7"/>
      <c r="J57" s="7"/>
      <c r="K57" s="17" t="s">
        <v>63</v>
      </c>
      <c r="L57" s="17" t="str">
        <f>VLOOKUP(C57,'LU CLASS'!$B$2:$E$25,4,FALSE)</f>
        <v>10-Tropical High Forest</v>
      </c>
      <c r="M57" s="17" t="str">
        <f>VLOOKUP(D57,'LU CLASS'!$B$2:$E$25,4,FALSE)</f>
        <v>72-Cropland_annual</v>
      </c>
    </row>
    <row r="58" spans="1:13" ht="15" customHeight="1" x14ac:dyDescent="0.15">
      <c r="A58" s="17">
        <v>57</v>
      </c>
      <c r="B58" s="7" t="s">
        <v>47</v>
      </c>
      <c r="C58" s="7" t="s">
        <v>61</v>
      </c>
      <c r="D58" s="7" t="s">
        <v>62</v>
      </c>
      <c r="E58" s="18">
        <v>1109.0411150568182</v>
      </c>
      <c r="F58" s="19">
        <v>1109.0723820441096</v>
      </c>
      <c r="G58" s="7" t="s">
        <v>34</v>
      </c>
      <c r="H58" s="7"/>
      <c r="I58" s="7"/>
      <c r="J58" s="7"/>
      <c r="K58" s="17" t="s">
        <v>63</v>
      </c>
      <c r="L58" s="17" t="str">
        <f>VLOOKUP(C58,'LU CLASS'!$B$2:$E$25,4,FALSE)</f>
        <v>10-Tropical High Forest</v>
      </c>
      <c r="M58" s="17" t="str">
        <f>VLOOKUP(D58,'LU CLASS'!$B$2:$E$25,4,FALSE)</f>
        <v>80-Grassland</v>
      </c>
    </row>
    <row r="59" spans="1:13" ht="15" customHeight="1" x14ac:dyDescent="0.15">
      <c r="A59" s="17">
        <v>58</v>
      </c>
      <c r="B59" s="7" t="s">
        <v>47</v>
      </c>
      <c r="C59" s="7" t="s">
        <v>80</v>
      </c>
      <c r="D59" s="7" t="s">
        <v>81</v>
      </c>
      <c r="E59" s="18">
        <v>1109.0411150568182</v>
      </c>
      <c r="F59" s="19">
        <v>1109.0723820441096</v>
      </c>
      <c r="G59" s="7" t="s">
        <v>34</v>
      </c>
      <c r="H59" s="7"/>
      <c r="I59" s="7"/>
      <c r="J59" s="7"/>
      <c r="K59" s="17" t="s">
        <v>71</v>
      </c>
      <c r="L59" s="17" t="str">
        <f>VLOOKUP(C59,'LU CLASS'!$B$2:$E$25,4,FALSE)</f>
        <v>11-Tropical High Forest</v>
      </c>
      <c r="M59" s="17" t="str">
        <f>VLOOKUP(D59,'LU CLASS'!$B$2:$E$25,4,FALSE)</f>
        <v>21-Tropical High Forest Degraded by other</v>
      </c>
    </row>
    <row r="60" spans="1:13" ht="15" customHeight="1" x14ac:dyDescent="0.15">
      <c r="A60" s="17">
        <v>59</v>
      </c>
      <c r="B60" s="7" t="s">
        <v>47</v>
      </c>
      <c r="C60" s="7" t="s">
        <v>64</v>
      </c>
      <c r="D60" s="7" t="s">
        <v>66</v>
      </c>
      <c r="E60" s="18">
        <v>17366.805603558201</v>
      </c>
      <c r="F60" s="19">
        <v>5653.9525756718413</v>
      </c>
      <c r="G60" s="7" t="s">
        <v>34</v>
      </c>
      <c r="H60" s="7"/>
      <c r="I60" s="7"/>
      <c r="J60" s="7"/>
      <c r="K60" s="17" t="s">
        <v>63</v>
      </c>
      <c r="L60" s="17" t="str">
        <f>VLOOKUP(C60,'LU CLASS'!$B$2:$E$25,4,FALSE)</f>
        <v>30-Woodlands</v>
      </c>
      <c r="M60" s="17" t="str">
        <f>VLOOKUP(D60,'LU CLASS'!$B$2:$E$25,4,FALSE)</f>
        <v>72-Cropland_annual</v>
      </c>
    </row>
    <row r="61" spans="1:13" ht="15" customHeight="1" x14ac:dyDescent="0.15">
      <c r="A61" s="17">
        <v>60</v>
      </c>
      <c r="B61" s="7" t="s">
        <v>47</v>
      </c>
      <c r="C61" s="7" t="s">
        <v>64</v>
      </c>
      <c r="D61" s="7" t="s">
        <v>62</v>
      </c>
      <c r="E61" s="18">
        <v>9649.6483294387854</v>
      </c>
      <c r="F61" s="19">
        <v>3483.25</v>
      </c>
      <c r="G61" s="7" t="s">
        <v>34</v>
      </c>
      <c r="H61" s="7"/>
      <c r="I61" s="7"/>
      <c r="J61" s="7"/>
      <c r="K61" s="17" t="s">
        <v>63</v>
      </c>
      <c r="L61" s="17" t="str">
        <f>VLOOKUP(C61,'LU CLASS'!$B$2:$E$25,4,FALSE)</f>
        <v>30-Woodlands</v>
      </c>
      <c r="M61" s="17" t="str">
        <f>VLOOKUP(D61,'LU CLASS'!$B$2:$E$25,4,FALSE)</f>
        <v>80-Grassland</v>
      </c>
    </row>
    <row r="62" spans="1:13" ht="15" customHeight="1" x14ac:dyDescent="0.15">
      <c r="A62" s="17">
        <v>61</v>
      </c>
      <c r="B62" s="7" t="s">
        <v>47</v>
      </c>
      <c r="C62" s="7" t="s">
        <v>78</v>
      </c>
      <c r="D62" s="7" t="s">
        <v>79</v>
      </c>
      <c r="E62" s="18">
        <v>3681</v>
      </c>
      <c r="F62" s="19">
        <v>2801.23</v>
      </c>
      <c r="G62" s="7" t="s">
        <v>34</v>
      </c>
      <c r="H62" s="7"/>
      <c r="I62" s="7"/>
      <c r="J62" s="7"/>
      <c r="K62" s="17" t="s">
        <v>71</v>
      </c>
      <c r="L62" s="17" t="str">
        <f>VLOOKUP(C62,'LU CLASS'!$B$2:$E$25,4,FALSE)</f>
        <v>31-Woodlands</v>
      </c>
      <c r="M62" s="17" t="str">
        <f>VLOOKUP(D62,'LU CLASS'!$B$2:$E$25,4,FALSE)</f>
        <v>41-Woodlands_Degraded_by_fire</v>
      </c>
    </row>
    <row r="63" spans="1:13" ht="15" customHeight="1" x14ac:dyDescent="0.15">
      <c r="A63" s="17">
        <v>62</v>
      </c>
      <c r="B63" s="7" t="s">
        <v>47</v>
      </c>
      <c r="C63" s="7" t="s">
        <v>76</v>
      </c>
      <c r="D63" s="7" t="s">
        <v>77</v>
      </c>
      <c r="E63" s="18">
        <v>1109</v>
      </c>
      <c r="F63" s="19">
        <v>1109.0723820441096</v>
      </c>
      <c r="G63" s="7" t="s">
        <v>34</v>
      </c>
      <c r="H63" s="7"/>
      <c r="I63" s="7"/>
      <c r="J63" s="7"/>
      <c r="K63" s="17" t="s">
        <v>71</v>
      </c>
      <c r="L63" s="17" t="str">
        <f>VLOOKUP(C63,'LU CLASS'!$B$2:$E$25,4,FALSE)</f>
        <v>34-Woodlands</v>
      </c>
      <c r="M63" s="17" t="str">
        <f>VLOOKUP(D63,'LU CLASS'!$B$2:$E$25,4,FALSE)</f>
        <v>44-Woodlands_Degraded_by_other</v>
      </c>
    </row>
    <row r="64" spans="1:13" ht="15" customHeight="1" x14ac:dyDescent="0.15">
      <c r="A64" s="17">
        <v>63</v>
      </c>
      <c r="B64" s="7" t="s">
        <v>47</v>
      </c>
      <c r="C64" s="7" t="s">
        <v>65</v>
      </c>
      <c r="D64" s="7" t="s">
        <v>66</v>
      </c>
      <c r="E64" s="18">
        <v>1109.0723820441096</v>
      </c>
      <c r="F64" s="19">
        <v>1109.0723820441096</v>
      </c>
      <c r="G64" s="7" t="s">
        <v>34</v>
      </c>
      <c r="H64" s="7"/>
      <c r="I64" s="7"/>
      <c r="J64" s="7"/>
      <c r="K64" s="17" t="s">
        <v>63</v>
      </c>
      <c r="L64" s="17" t="str">
        <f>VLOOKUP(C64,'LU CLASS'!$B$2:$E$25,4,FALSE)</f>
        <v>51-Plantations commercial</v>
      </c>
      <c r="M64" s="17" t="str">
        <f>VLOOKUP(D64,'LU CLASS'!$B$2:$E$25,4,FALSE)</f>
        <v>72-Cropland_annual</v>
      </c>
    </row>
    <row r="65" spans="1:13" ht="15" customHeight="1" x14ac:dyDescent="0.15">
      <c r="A65" s="17">
        <v>64</v>
      </c>
      <c r="B65" s="7" t="s">
        <v>47</v>
      </c>
      <c r="C65" s="7" t="s">
        <v>65</v>
      </c>
      <c r="D65" s="7" t="s">
        <v>62</v>
      </c>
      <c r="E65" s="18">
        <v>3695.8970604781998</v>
      </c>
      <c r="F65" s="19">
        <v>2612.5239606774985</v>
      </c>
      <c r="G65" s="7" t="s">
        <v>34</v>
      </c>
      <c r="H65" s="7"/>
      <c r="I65" s="7"/>
      <c r="J65" s="7"/>
      <c r="K65" s="17" t="s">
        <v>63</v>
      </c>
      <c r="L65" s="17" t="str">
        <f>VLOOKUP(C65,'LU CLASS'!$B$2:$E$25,4,FALSE)</f>
        <v>51-Plantations commercial</v>
      </c>
      <c r="M65" s="17" t="str">
        <f>VLOOKUP(D65,'LU CLASS'!$B$2:$E$25,4,FALSE)</f>
        <v>80-Grassland</v>
      </c>
    </row>
    <row r="66" spans="1:13" ht="15" customHeight="1" x14ac:dyDescent="0.15">
      <c r="A66" s="17">
        <v>65</v>
      </c>
      <c r="B66" s="7" t="s">
        <v>47</v>
      </c>
      <c r="C66" s="7" t="s">
        <v>67</v>
      </c>
      <c r="D66" s="7" t="s">
        <v>66</v>
      </c>
      <c r="E66" s="18">
        <v>1886.3605240410589</v>
      </c>
      <c r="F66" s="19">
        <v>1886.4137058480558</v>
      </c>
      <c r="G66" s="7" t="s">
        <v>34</v>
      </c>
      <c r="H66" s="7"/>
      <c r="I66" s="7"/>
      <c r="J66" s="7"/>
      <c r="K66" s="17" t="s">
        <v>63</v>
      </c>
      <c r="L66" s="17" t="str">
        <f>VLOOKUP(C66,'LU CLASS'!$B$2:$E$25,4,FALSE)</f>
        <v>52-Plantations non commercial</v>
      </c>
      <c r="M66" s="17" t="str">
        <f>VLOOKUP(D66,'LU CLASS'!$B$2:$E$25,4,FALSE)</f>
        <v>72-Cropland_annual</v>
      </c>
    </row>
    <row r="67" spans="1:13" ht="15" customHeight="1" x14ac:dyDescent="0.15">
      <c r="A67" s="22">
        <v>66</v>
      </c>
      <c r="B67" s="23" t="s">
        <v>49</v>
      </c>
      <c r="C67" s="23" t="s">
        <v>61</v>
      </c>
      <c r="D67" s="23" t="s">
        <v>68</v>
      </c>
      <c r="E67" s="24">
        <v>600</v>
      </c>
      <c r="F67" s="25">
        <v>599.577</v>
      </c>
      <c r="G67" s="23" t="s">
        <v>34</v>
      </c>
      <c r="H67" s="23"/>
      <c r="I67" s="23"/>
      <c r="J67" s="23"/>
      <c r="K67" s="22" t="s">
        <v>63</v>
      </c>
      <c r="L67" s="22" t="str">
        <f>VLOOKUP(C67,'LU CLASS'!$B$2:$E$25,4,FALSE)</f>
        <v>10-Tropical High Forest</v>
      </c>
      <c r="M67" s="22" t="str">
        <f>VLOOKUP(D67,'LU CLASS'!$B$2:$E$25,4,FALSE)</f>
        <v>71-Cropland_perennial</v>
      </c>
    </row>
    <row r="68" spans="1:13" ht="15" customHeight="1" x14ac:dyDescent="0.15">
      <c r="A68" s="22">
        <v>67</v>
      </c>
      <c r="B68" s="23" t="s">
        <v>49</v>
      </c>
      <c r="C68" s="23" t="s">
        <v>69</v>
      </c>
      <c r="D68" s="23" t="s">
        <v>70</v>
      </c>
      <c r="E68" s="24">
        <v>7749</v>
      </c>
      <c r="F68" s="25">
        <v>4466.88</v>
      </c>
      <c r="G68" s="23" t="s">
        <v>34</v>
      </c>
      <c r="H68" s="23"/>
      <c r="I68" s="23"/>
      <c r="J68" s="23"/>
      <c r="K68" s="22" t="s">
        <v>71</v>
      </c>
      <c r="L68" s="22" t="str">
        <f>VLOOKUP(C68,'LU CLASS'!$B$2:$E$25,4,FALSE)</f>
        <v>12-Tropical High Forest</v>
      </c>
      <c r="M68" s="22" t="str">
        <f>VLOOKUP(D68,'LU CLASS'!$B$2:$E$25,4,FALSE)</f>
        <v>22-Tropical High Forest Degraded by logging</v>
      </c>
    </row>
    <row r="69" spans="1:13" ht="15" customHeight="1" x14ac:dyDescent="0.15">
      <c r="A69" s="22">
        <v>68</v>
      </c>
      <c r="B69" s="23" t="s">
        <v>49</v>
      </c>
      <c r="C69" s="23" t="s">
        <v>64</v>
      </c>
      <c r="D69" s="23" t="s">
        <v>68</v>
      </c>
      <c r="E69" s="24">
        <v>6141</v>
      </c>
      <c r="F69" s="25">
        <v>3929</v>
      </c>
      <c r="G69" s="23" t="s">
        <v>34</v>
      </c>
      <c r="H69" s="23"/>
      <c r="I69" s="23"/>
      <c r="J69" s="23"/>
      <c r="K69" s="22" t="s">
        <v>63</v>
      </c>
      <c r="L69" s="22" t="str">
        <f>VLOOKUP(C69,'LU CLASS'!$B$2:$E$25,4,FALSE)</f>
        <v>30-Woodlands</v>
      </c>
      <c r="M69" s="22" t="str">
        <f>VLOOKUP(D69,'LU CLASS'!$B$2:$E$25,4,FALSE)</f>
        <v>71-Cropland_perennial</v>
      </c>
    </row>
    <row r="70" spans="1:13" ht="15" customHeight="1" x14ac:dyDescent="0.15">
      <c r="A70" s="22">
        <v>69</v>
      </c>
      <c r="B70" s="23" t="s">
        <v>49</v>
      </c>
      <c r="C70" s="23" t="s">
        <v>64</v>
      </c>
      <c r="D70" s="23" t="s">
        <v>62</v>
      </c>
      <c r="E70" s="24">
        <v>15958</v>
      </c>
      <c r="F70" s="25">
        <v>6971.08</v>
      </c>
      <c r="G70" s="23" t="s">
        <v>34</v>
      </c>
      <c r="H70" s="23"/>
      <c r="I70" s="23"/>
      <c r="J70" s="23"/>
      <c r="K70" s="22" t="s">
        <v>63</v>
      </c>
      <c r="L70" s="22" t="str">
        <f>VLOOKUP(C70,'LU CLASS'!$B$2:$E$25,4,FALSE)</f>
        <v>30-Woodlands</v>
      </c>
      <c r="M70" s="22" t="str">
        <f>VLOOKUP(D70,'LU CLASS'!$B$2:$E$25,4,FALSE)</f>
        <v>80-Grassland</v>
      </c>
    </row>
    <row r="71" spans="1:13" ht="15" customHeight="1" x14ac:dyDescent="0.15">
      <c r="A71" s="22">
        <v>70</v>
      </c>
      <c r="B71" s="23" t="s">
        <v>49</v>
      </c>
      <c r="C71" s="23" t="s">
        <v>64</v>
      </c>
      <c r="D71" s="23" t="s">
        <v>82</v>
      </c>
      <c r="E71" s="24">
        <v>600</v>
      </c>
      <c r="F71" s="25">
        <v>599.97699999999998</v>
      </c>
      <c r="G71" s="23" t="s">
        <v>34</v>
      </c>
      <c r="H71" s="23"/>
      <c r="I71" s="23"/>
      <c r="J71" s="23"/>
      <c r="K71" s="22" t="s">
        <v>63</v>
      </c>
      <c r="L71" s="22" t="str">
        <f>VLOOKUP(C71,'LU CLASS'!$B$2:$E$25,4,FALSE)</f>
        <v>30-Woodlands</v>
      </c>
      <c r="M71" s="22" t="str">
        <f>VLOOKUP(D71,'LU CLASS'!$B$2:$E$25,4,FALSE)</f>
        <v>90-Settlement</v>
      </c>
    </row>
    <row r="72" spans="1:13" ht="15" customHeight="1" x14ac:dyDescent="0.15">
      <c r="A72" s="22">
        <v>71</v>
      </c>
      <c r="B72" s="23" t="s">
        <v>49</v>
      </c>
      <c r="C72" s="23" t="s">
        <v>72</v>
      </c>
      <c r="D72" s="23" t="s">
        <v>73</v>
      </c>
      <c r="E72" s="24">
        <v>2806.3925051628653</v>
      </c>
      <c r="F72" s="25">
        <v>2286.73</v>
      </c>
      <c r="G72" s="23" t="s">
        <v>34</v>
      </c>
      <c r="H72" s="23"/>
      <c r="I72" s="23"/>
      <c r="J72" s="23"/>
      <c r="K72" s="22" t="s">
        <v>71</v>
      </c>
      <c r="L72" s="22" t="str">
        <f>VLOOKUP(C72,'LU CLASS'!$B$2:$E$25,4,FALSE)</f>
        <v>32-Woodlands</v>
      </c>
      <c r="M72" s="22" t="str">
        <f>VLOOKUP(D72,'LU CLASS'!$B$2:$E$25,4,FALSE)</f>
        <v>42-Woodlands_Degraded_by_logging</v>
      </c>
    </row>
    <row r="73" spans="1:13" ht="15" customHeight="1" x14ac:dyDescent="0.15">
      <c r="A73" s="22">
        <v>72</v>
      </c>
      <c r="B73" s="23" t="s">
        <v>49</v>
      </c>
      <c r="C73" s="23" t="s">
        <v>76</v>
      </c>
      <c r="D73" s="23" t="s">
        <v>77</v>
      </c>
      <c r="E73" s="24">
        <v>3743.100845468417</v>
      </c>
      <c r="F73" s="25">
        <v>3743.09</v>
      </c>
      <c r="G73" s="23" t="s">
        <v>34</v>
      </c>
      <c r="H73" s="23"/>
      <c r="I73" s="23"/>
      <c r="J73" s="23"/>
      <c r="K73" s="22" t="s">
        <v>71</v>
      </c>
      <c r="L73" s="22" t="str">
        <f>VLOOKUP(C73,'LU CLASS'!$B$2:$E$25,4,FALSE)</f>
        <v>34-Woodlands</v>
      </c>
      <c r="M73" s="22" t="str">
        <f>VLOOKUP(D73,'LU CLASS'!$B$2:$E$25,4,FALSE)</f>
        <v>44-Woodlands_Degraded_by_other</v>
      </c>
    </row>
    <row r="74" spans="1:13" ht="15" customHeight="1" x14ac:dyDescent="0.15">
      <c r="A74" s="22">
        <v>73</v>
      </c>
      <c r="B74" s="23" t="s">
        <v>49</v>
      </c>
      <c r="C74" s="23" t="s">
        <v>67</v>
      </c>
      <c r="D74" s="23" t="s">
        <v>68</v>
      </c>
      <c r="E74" s="24">
        <v>3406</v>
      </c>
      <c r="F74" s="25">
        <v>2363.0682912226885</v>
      </c>
      <c r="G74" s="23" t="s">
        <v>34</v>
      </c>
      <c r="H74" s="23"/>
      <c r="I74" s="23"/>
      <c r="J74" s="23"/>
      <c r="K74" s="22" t="s">
        <v>63</v>
      </c>
      <c r="L74" s="22" t="str">
        <f>VLOOKUP(C74,'LU CLASS'!$B$2:$E$25,4,FALSE)</f>
        <v>52-Plantations non commercial</v>
      </c>
      <c r="M74" s="22" t="str">
        <f>VLOOKUP(D74,'LU CLASS'!$B$2:$E$25,4,FALSE)</f>
        <v>71-Cropland_perennial</v>
      </c>
    </row>
  </sheetData>
  <autoFilter ref="A1:K74" xr:uid="{00000000-0001-0000-0300-000000000000}">
    <sortState xmlns:xlrd2="http://schemas.microsoft.com/office/spreadsheetml/2017/richdata2" ref="A2:K74">
      <sortCondition ref="B1:B74"/>
    </sortState>
  </autoFilter>
  <phoneticPr fontId="10" type="noConversion"/>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L35"/>
  <sheetViews>
    <sheetView zoomScale="179" zoomScaleNormal="150" workbookViewId="0">
      <selection activeCell="J9" sqref="J9"/>
    </sheetView>
  </sheetViews>
  <sheetFormatPr baseColWidth="10" defaultColWidth="12.5" defaultRowHeight="13" x14ac:dyDescent="0.15"/>
  <cols>
    <col min="1" max="1" width="5.83203125" customWidth="1"/>
    <col min="2" max="2" width="9.5" customWidth="1"/>
    <col min="3" max="3" width="15.5" bestFit="1" customWidth="1"/>
    <col min="4" max="4" width="11.1640625" bestFit="1" customWidth="1"/>
    <col min="5" max="5" width="9.33203125" customWidth="1"/>
    <col min="6" max="6" width="8.5" customWidth="1"/>
    <col min="7" max="7" width="7.1640625" customWidth="1"/>
    <col min="8" max="8" width="6.5" customWidth="1"/>
    <col min="9" max="11" width="8.83203125" customWidth="1"/>
    <col min="12" max="12" width="36.33203125" bestFit="1" customWidth="1"/>
  </cols>
  <sheetData>
    <row r="1" spans="1:12" ht="16" x14ac:dyDescent="0.2">
      <c r="A1" s="28" t="s">
        <v>83</v>
      </c>
      <c r="B1" s="28" t="s">
        <v>84</v>
      </c>
      <c r="C1" s="28" t="s">
        <v>124</v>
      </c>
      <c r="D1" s="28" t="s">
        <v>85</v>
      </c>
      <c r="E1" s="28" t="s">
        <v>17</v>
      </c>
      <c r="F1" s="28" t="s">
        <v>86</v>
      </c>
      <c r="G1" s="28" t="s">
        <v>87</v>
      </c>
      <c r="H1" s="28" t="s">
        <v>88</v>
      </c>
      <c r="I1" s="28" t="s">
        <v>89</v>
      </c>
      <c r="J1" s="28" t="s">
        <v>90</v>
      </c>
      <c r="K1" s="28" t="s">
        <v>91</v>
      </c>
      <c r="L1" s="28" t="s">
        <v>131</v>
      </c>
    </row>
    <row r="2" spans="1:12" x14ac:dyDescent="0.15">
      <c r="A2" s="17">
        <v>1</v>
      </c>
      <c r="B2" s="17" t="s">
        <v>35</v>
      </c>
      <c r="C2" s="17" t="s">
        <v>61</v>
      </c>
      <c r="D2" s="17" t="s">
        <v>92</v>
      </c>
      <c r="E2" s="17" t="s">
        <v>33</v>
      </c>
      <c r="F2" s="7">
        <v>231.7</v>
      </c>
      <c r="G2" s="29">
        <v>2.7869999999999999</v>
      </c>
      <c r="H2" s="17" t="s">
        <v>34</v>
      </c>
      <c r="I2" s="17"/>
      <c r="J2" s="17"/>
      <c r="K2" s="17"/>
      <c r="L2" s="17" t="str">
        <f>VLOOKUP(C2,'LU CLASS'!$B$2:$E$26,4,FALSE)</f>
        <v>10-Tropical High Forest</v>
      </c>
    </row>
    <row r="3" spans="1:12" x14ac:dyDescent="0.15">
      <c r="A3" s="17">
        <v>2</v>
      </c>
      <c r="B3" s="17" t="s">
        <v>35</v>
      </c>
      <c r="C3" s="17" t="s">
        <v>80</v>
      </c>
      <c r="D3" s="17" t="s">
        <v>92</v>
      </c>
      <c r="E3" s="17" t="s">
        <v>33</v>
      </c>
      <c r="F3" s="7">
        <v>231.7</v>
      </c>
      <c r="G3" s="29">
        <v>2.7869999999999999</v>
      </c>
      <c r="H3" s="17" t="s">
        <v>34</v>
      </c>
      <c r="I3" s="17"/>
      <c r="J3" s="17"/>
      <c r="K3" s="17"/>
      <c r="L3" s="17" t="str">
        <f>VLOOKUP(C3,'LU CLASS'!$B$2:$E$26,4,FALSE)</f>
        <v>11-Tropical High Forest</v>
      </c>
    </row>
    <row r="4" spans="1:12" x14ac:dyDescent="0.15">
      <c r="A4" s="17">
        <v>3</v>
      </c>
      <c r="B4" s="17" t="s">
        <v>35</v>
      </c>
      <c r="C4" s="17" t="s">
        <v>69</v>
      </c>
      <c r="D4" s="17" t="s">
        <v>92</v>
      </c>
      <c r="E4" s="17" t="s">
        <v>33</v>
      </c>
      <c r="F4" s="7">
        <v>231.7</v>
      </c>
      <c r="G4" s="29">
        <v>2.7869999999999999</v>
      </c>
      <c r="H4" s="17" t="s">
        <v>34</v>
      </c>
      <c r="I4" s="17"/>
      <c r="J4" s="17"/>
      <c r="K4" s="17"/>
      <c r="L4" s="17" t="str">
        <f>VLOOKUP(C4,'LU CLASS'!$B$2:$E$26,4,FALSE)</f>
        <v>12-Tropical High Forest</v>
      </c>
    </row>
    <row r="5" spans="1:12" x14ac:dyDescent="0.15">
      <c r="A5" s="17">
        <v>4</v>
      </c>
      <c r="B5" s="17" t="s">
        <v>35</v>
      </c>
      <c r="C5" s="17" t="s">
        <v>64</v>
      </c>
      <c r="D5" s="17" t="s">
        <v>92</v>
      </c>
      <c r="E5" s="17" t="s">
        <v>33</v>
      </c>
      <c r="F5" s="29">
        <v>17.8</v>
      </c>
      <c r="G5" s="29">
        <v>1.0078</v>
      </c>
      <c r="H5" s="17" t="s">
        <v>34</v>
      </c>
      <c r="I5" s="17"/>
      <c r="J5" s="17"/>
      <c r="K5" s="17"/>
      <c r="L5" s="17" t="str">
        <f>VLOOKUP(C5,'LU CLASS'!$B$2:$E$26,4,FALSE)</f>
        <v>30-Woodlands</v>
      </c>
    </row>
    <row r="6" spans="1:12" x14ac:dyDescent="0.15">
      <c r="A6" s="17">
        <v>5</v>
      </c>
      <c r="B6" s="17" t="s">
        <v>35</v>
      </c>
      <c r="C6" s="17" t="s">
        <v>78</v>
      </c>
      <c r="D6" s="17" t="s">
        <v>92</v>
      </c>
      <c r="E6" s="17" t="s">
        <v>33</v>
      </c>
      <c r="F6" s="29">
        <v>17.8</v>
      </c>
      <c r="G6" s="29">
        <v>1.0078</v>
      </c>
      <c r="H6" s="17" t="s">
        <v>34</v>
      </c>
      <c r="I6" s="17"/>
      <c r="J6" s="17"/>
      <c r="K6" s="17"/>
      <c r="L6" s="17" t="str">
        <f>VLOOKUP(C6,'LU CLASS'!$B$2:$E$26,4,FALSE)</f>
        <v>31-Woodlands</v>
      </c>
    </row>
    <row r="7" spans="1:12" x14ac:dyDescent="0.15">
      <c r="A7" s="17">
        <v>6</v>
      </c>
      <c r="B7" s="17" t="s">
        <v>35</v>
      </c>
      <c r="C7" s="17" t="s">
        <v>72</v>
      </c>
      <c r="D7" s="17" t="s">
        <v>92</v>
      </c>
      <c r="E7" s="17" t="s">
        <v>33</v>
      </c>
      <c r="F7" s="29">
        <v>17.8</v>
      </c>
      <c r="G7" s="29">
        <v>1.0078</v>
      </c>
      <c r="H7" s="17" t="s">
        <v>34</v>
      </c>
      <c r="I7" s="17"/>
      <c r="J7" s="17"/>
      <c r="K7" s="17"/>
      <c r="L7" s="17" t="str">
        <f>VLOOKUP(C7,'LU CLASS'!$B$2:$E$26,4,FALSE)</f>
        <v>32-Woodlands</v>
      </c>
    </row>
    <row r="8" spans="1:12" x14ac:dyDescent="0.15">
      <c r="A8" s="17">
        <v>7</v>
      </c>
      <c r="B8" s="17" t="s">
        <v>35</v>
      </c>
      <c r="C8" s="17" t="s">
        <v>74</v>
      </c>
      <c r="D8" s="17" t="s">
        <v>92</v>
      </c>
      <c r="E8" s="17" t="s">
        <v>33</v>
      </c>
      <c r="F8" s="29">
        <v>17.8</v>
      </c>
      <c r="G8" s="29">
        <v>1.0078</v>
      </c>
      <c r="H8" s="17" t="s">
        <v>34</v>
      </c>
      <c r="I8" s="17"/>
      <c r="J8" s="17"/>
      <c r="K8" s="17"/>
      <c r="L8" s="17" t="str">
        <f>VLOOKUP(C8,'LU CLASS'!$B$2:$E$26,4,FALSE)</f>
        <v>33-Woodlands</v>
      </c>
    </row>
    <row r="9" spans="1:12" x14ac:dyDescent="0.15">
      <c r="A9" s="17">
        <v>8</v>
      </c>
      <c r="B9" s="17" t="s">
        <v>35</v>
      </c>
      <c r="C9" s="17" t="s">
        <v>76</v>
      </c>
      <c r="D9" s="17" t="s">
        <v>92</v>
      </c>
      <c r="E9" s="17" t="s">
        <v>33</v>
      </c>
      <c r="F9" s="29">
        <v>17.8</v>
      </c>
      <c r="G9" s="29">
        <v>1.0078</v>
      </c>
      <c r="H9" s="17" t="s">
        <v>34</v>
      </c>
      <c r="I9" s="17"/>
      <c r="J9" s="17"/>
      <c r="K9" s="17"/>
      <c r="L9" s="17" t="str">
        <f>VLOOKUP(C9,'LU CLASS'!$B$2:$E$26,4,FALSE)</f>
        <v>34-Woodlands</v>
      </c>
    </row>
    <row r="10" spans="1:12" x14ac:dyDescent="0.15">
      <c r="A10" s="17">
        <v>9</v>
      </c>
      <c r="B10" s="17" t="s">
        <v>35</v>
      </c>
      <c r="C10" s="17" t="s">
        <v>65</v>
      </c>
      <c r="D10" s="17" t="s">
        <v>92</v>
      </c>
      <c r="E10" s="17" t="s">
        <v>33</v>
      </c>
      <c r="F10" s="29">
        <v>98.3</v>
      </c>
      <c r="G10" s="29">
        <v>7.91</v>
      </c>
      <c r="H10" s="17" t="s">
        <v>34</v>
      </c>
      <c r="I10" s="17"/>
      <c r="J10" s="17"/>
      <c r="K10" s="17"/>
      <c r="L10" s="17" t="str">
        <f>VLOOKUP(C10,'LU CLASS'!$B$2:$E$26,4,FALSE)</f>
        <v>51-Plantations commercial</v>
      </c>
    </row>
    <row r="11" spans="1:12" x14ac:dyDescent="0.15">
      <c r="A11" s="17">
        <v>10</v>
      </c>
      <c r="B11" s="17" t="s">
        <v>35</v>
      </c>
      <c r="C11" s="17" t="s">
        <v>67</v>
      </c>
      <c r="D11" s="17" t="s">
        <v>92</v>
      </c>
      <c r="E11" s="17" t="s">
        <v>33</v>
      </c>
      <c r="F11" s="29">
        <v>98.3</v>
      </c>
      <c r="G11" s="29">
        <v>7.91</v>
      </c>
      <c r="H11" s="17" t="s">
        <v>34</v>
      </c>
      <c r="I11" s="17"/>
      <c r="J11" s="17"/>
      <c r="K11" s="17"/>
      <c r="L11" s="17" t="str">
        <f>VLOOKUP(C11,'LU CLASS'!$B$2:$E$26,4,FALSE)</f>
        <v>52-Plantations non commercial</v>
      </c>
    </row>
    <row r="12" spans="1:12" x14ac:dyDescent="0.15">
      <c r="A12" s="17">
        <v>11</v>
      </c>
      <c r="B12" s="17" t="s">
        <v>35</v>
      </c>
      <c r="C12" s="17" t="s">
        <v>68</v>
      </c>
      <c r="D12" s="17" t="s">
        <v>92</v>
      </c>
      <c r="E12" s="17" t="s">
        <v>33</v>
      </c>
      <c r="F12" s="29">
        <v>5.9</v>
      </c>
      <c r="G12" s="29">
        <v>1.1439999999999999</v>
      </c>
      <c r="H12" s="17" t="s">
        <v>34</v>
      </c>
      <c r="I12" s="17"/>
      <c r="J12" s="17"/>
      <c r="K12" s="30"/>
      <c r="L12" s="30" t="str">
        <f>VLOOKUP(C12,'LU CLASS'!$B$2:$E$26,4,FALSE)</f>
        <v>71-Cropland_perennial</v>
      </c>
    </row>
    <row r="13" spans="1:12" x14ac:dyDescent="0.15">
      <c r="A13" s="17">
        <v>12</v>
      </c>
      <c r="B13" s="17" t="s">
        <v>35</v>
      </c>
      <c r="C13" s="17" t="s">
        <v>66</v>
      </c>
      <c r="D13" s="17" t="s">
        <v>92</v>
      </c>
      <c r="E13" s="17" t="s">
        <v>33</v>
      </c>
      <c r="F13" s="29">
        <v>8.1199999999999992</v>
      </c>
      <c r="G13" s="29">
        <v>3.83</v>
      </c>
      <c r="H13" s="17" t="s">
        <v>34</v>
      </c>
      <c r="I13" s="17"/>
      <c r="J13" s="17"/>
      <c r="K13" s="30"/>
      <c r="L13" s="30" t="str">
        <f>VLOOKUP(C13,'LU CLASS'!$B$2:$E$26,4,FALSE)</f>
        <v>72-Cropland_annual</v>
      </c>
    </row>
    <row r="14" spans="1:12" x14ac:dyDescent="0.15">
      <c r="A14" s="17">
        <v>13</v>
      </c>
      <c r="B14" s="17" t="s">
        <v>35</v>
      </c>
      <c r="C14" s="7" t="s">
        <v>62</v>
      </c>
      <c r="D14" s="17" t="s">
        <v>92</v>
      </c>
      <c r="E14" s="17" t="s">
        <v>33</v>
      </c>
      <c r="F14" s="29">
        <v>13</v>
      </c>
      <c r="G14" s="29">
        <v>0.47899999999999998</v>
      </c>
      <c r="H14" s="17" t="s">
        <v>34</v>
      </c>
      <c r="I14" s="7"/>
      <c r="J14" s="7"/>
      <c r="K14" s="7"/>
      <c r="L14" s="7" t="str">
        <f>VLOOKUP(C14,'LU CLASS'!$B$2:$E$26,4,FALSE)</f>
        <v>80-Grassland</v>
      </c>
    </row>
    <row r="15" spans="1:12" x14ac:dyDescent="0.15">
      <c r="A15" s="22">
        <v>14</v>
      </c>
      <c r="B15" s="22" t="s">
        <v>35</v>
      </c>
      <c r="C15" s="23" t="s">
        <v>82</v>
      </c>
      <c r="D15" s="22" t="s">
        <v>35</v>
      </c>
      <c r="E15" s="22" t="s">
        <v>125</v>
      </c>
      <c r="F15" s="34">
        <v>0</v>
      </c>
      <c r="G15" s="34">
        <v>0</v>
      </c>
      <c r="H15" s="22" t="s">
        <v>34</v>
      </c>
      <c r="I15" s="23"/>
      <c r="J15" s="23"/>
      <c r="K15" s="23"/>
      <c r="L15" s="23" t="str">
        <f>VLOOKUP(C15,'LU CLASS'!$B$2:$E$26,4,FALSE)</f>
        <v>90-Settlement</v>
      </c>
    </row>
    <row r="16" spans="1:12" x14ac:dyDescent="0.15">
      <c r="A16" s="7"/>
      <c r="B16" s="31" t="s">
        <v>35</v>
      </c>
      <c r="C16" s="31" t="s">
        <v>35</v>
      </c>
      <c r="D16" s="31" t="s">
        <v>126</v>
      </c>
      <c r="E16" s="31" t="s">
        <v>117</v>
      </c>
      <c r="F16" s="30">
        <v>0.47</v>
      </c>
      <c r="G16" s="30">
        <v>1.2999999999999999E-2</v>
      </c>
      <c r="H16" s="30" t="s">
        <v>34</v>
      </c>
      <c r="I16" s="7"/>
      <c r="J16" s="7"/>
      <c r="K16" s="7"/>
      <c r="L16" s="7" t="str">
        <f>VLOOKUP(C16,'LU CLASS'!$B$2:$E$26,4,FALSE)</f>
        <v>99-ALL</v>
      </c>
    </row>
    <row r="17" spans="1:12" x14ac:dyDescent="0.15">
      <c r="A17" s="22">
        <v>32</v>
      </c>
      <c r="B17" s="32" t="s">
        <v>35</v>
      </c>
      <c r="C17" s="32" t="s">
        <v>81</v>
      </c>
      <c r="D17" s="32" t="s">
        <v>94</v>
      </c>
      <c r="E17" s="32" t="s">
        <v>117</v>
      </c>
      <c r="F17" s="23">
        <f>1-0.204</f>
        <v>0.79600000000000004</v>
      </c>
      <c r="G17" s="32">
        <v>0.128</v>
      </c>
      <c r="H17" s="32" t="s">
        <v>95</v>
      </c>
      <c r="I17" s="33">
        <f t="shared" ref="I17:I22" si="0">ROUND((F17*(1-F17)/(G17*G17)-1)*F17,2)</f>
        <v>7.09</v>
      </c>
      <c r="J17" s="33">
        <f t="shared" ref="J17:J22" si="1">ROUND((F17*(1-F17)/(G17*G17)-1)*(1-F17),2)</f>
        <v>1.82</v>
      </c>
      <c r="K17" s="23"/>
      <c r="L17" s="23" t="str">
        <f>VLOOKUP(C17,'LU CLASS'!$B$2:$E$26,4,FALSE)</f>
        <v>21-Tropical High Forest Degraded by other</v>
      </c>
    </row>
    <row r="18" spans="1:12" x14ac:dyDescent="0.15">
      <c r="A18" s="22">
        <v>33</v>
      </c>
      <c r="B18" s="32" t="s">
        <v>35</v>
      </c>
      <c r="C18" s="32" t="s">
        <v>70</v>
      </c>
      <c r="D18" s="32" t="s">
        <v>94</v>
      </c>
      <c r="E18" s="32" t="s">
        <v>117</v>
      </c>
      <c r="F18" s="23">
        <f>1-0.108</f>
        <v>0.89200000000000002</v>
      </c>
      <c r="G18" s="32">
        <v>8.6999999999999994E-2</v>
      </c>
      <c r="H18" s="32" t="s">
        <v>95</v>
      </c>
      <c r="I18" s="33">
        <f t="shared" si="0"/>
        <v>10.46</v>
      </c>
      <c r="J18" s="33">
        <f t="shared" si="1"/>
        <v>1.27</v>
      </c>
      <c r="K18" s="23"/>
      <c r="L18" s="23" t="str">
        <f>VLOOKUP(C18,'LU CLASS'!$B$2:$E$26,4,FALSE)</f>
        <v>22-Tropical High Forest Degraded by logging</v>
      </c>
    </row>
    <row r="19" spans="1:12" x14ac:dyDescent="0.15">
      <c r="A19" s="22">
        <v>28</v>
      </c>
      <c r="B19" s="32" t="s">
        <v>35</v>
      </c>
      <c r="C19" s="32" t="s">
        <v>79</v>
      </c>
      <c r="D19" s="32" t="s">
        <v>94</v>
      </c>
      <c r="E19" s="32" t="s">
        <v>117</v>
      </c>
      <c r="F19" s="23">
        <f>1-0.297</f>
        <v>0.70300000000000007</v>
      </c>
      <c r="G19" s="32">
        <v>0.13700000000000001</v>
      </c>
      <c r="H19" s="32" t="s">
        <v>95</v>
      </c>
      <c r="I19" s="33">
        <f t="shared" si="0"/>
        <v>7.12</v>
      </c>
      <c r="J19" s="33">
        <f t="shared" si="1"/>
        <v>3.01</v>
      </c>
      <c r="K19" s="23"/>
      <c r="L19" s="23" t="str">
        <f>VLOOKUP(C19,'LU CLASS'!$B$2:$E$26,4,FALSE)</f>
        <v>41-Woodlands_Degraded_by_fire</v>
      </c>
    </row>
    <row r="20" spans="1:12" x14ac:dyDescent="0.15">
      <c r="A20" s="22">
        <v>29</v>
      </c>
      <c r="B20" s="32" t="s">
        <v>35</v>
      </c>
      <c r="C20" s="32" t="s">
        <v>73</v>
      </c>
      <c r="D20" s="32" t="s">
        <v>94</v>
      </c>
      <c r="E20" s="32" t="s">
        <v>117</v>
      </c>
      <c r="F20" s="23">
        <f>1-0.108</f>
        <v>0.89200000000000002</v>
      </c>
      <c r="G20" s="32">
        <v>8.6999999999999994E-2</v>
      </c>
      <c r="H20" s="32" t="s">
        <v>95</v>
      </c>
      <c r="I20" s="33">
        <f t="shared" si="0"/>
        <v>10.46</v>
      </c>
      <c r="J20" s="33">
        <f t="shared" si="1"/>
        <v>1.27</v>
      </c>
      <c r="K20" s="23"/>
      <c r="L20" s="23" t="str">
        <f>VLOOKUP(C20,'LU CLASS'!$B$2:$E$26,4,FALSE)</f>
        <v>42-Woodlands_Degraded_by_logging</v>
      </c>
    </row>
    <row r="21" spans="1:12" x14ac:dyDescent="0.15">
      <c r="A21" s="22">
        <v>30</v>
      </c>
      <c r="B21" s="32" t="s">
        <v>35</v>
      </c>
      <c r="C21" s="32" t="s">
        <v>75</v>
      </c>
      <c r="D21" s="32" t="s">
        <v>94</v>
      </c>
      <c r="E21" s="32" t="s">
        <v>117</v>
      </c>
      <c r="F21" s="23">
        <f>1-0.108</f>
        <v>0.89200000000000002</v>
      </c>
      <c r="G21" s="32">
        <v>8.6999999999999994E-2</v>
      </c>
      <c r="H21" s="32" t="s">
        <v>95</v>
      </c>
      <c r="I21" s="33">
        <f t="shared" si="0"/>
        <v>10.46</v>
      </c>
      <c r="J21" s="33">
        <f t="shared" si="1"/>
        <v>1.27</v>
      </c>
      <c r="K21" s="23"/>
      <c r="L21" s="23" t="str">
        <f>VLOOKUP(C21,'LU CLASS'!$B$2:$E$26,4,FALSE)</f>
        <v>43-Woodlands_Degraded_by_charcoal</v>
      </c>
    </row>
    <row r="22" spans="1:12" x14ac:dyDescent="0.15">
      <c r="A22" s="22">
        <v>31</v>
      </c>
      <c r="B22" s="32" t="s">
        <v>35</v>
      </c>
      <c r="C22" s="32" t="s">
        <v>77</v>
      </c>
      <c r="D22" s="32" t="s">
        <v>94</v>
      </c>
      <c r="E22" s="32" t="s">
        <v>117</v>
      </c>
      <c r="F22" s="23">
        <f>1-0.204</f>
        <v>0.79600000000000004</v>
      </c>
      <c r="G22" s="32">
        <v>0.128</v>
      </c>
      <c r="H22" s="32" t="s">
        <v>95</v>
      </c>
      <c r="I22" s="33">
        <f t="shared" si="0"/>
        <v>7.09</v>
      </c>
      <c r="J22" s="33">
        <f t="shared" si="1"/>
        <v>1.82</v>
      </c>
      <c r="K22" s="23"/>
      <c r="L22" s="23" t="str">
        <f>VLOOKUP(C22,'LU CLASS'!$B$2:$E$26,4,FALSE)</f>
        <v>44-Woodlands_Degraded_by_other</v>
      </c>
    </row>
    <row r="23" spans="1:12" x14ac:dyDescent="0.15">
      <c r="A23" s="17">
        <v>15</v>
      </c>
      <c r="B23" s="7" t="s">
        <v>35</v>
      </c>
      <c r="C23" s="31" t="s">
        <v>61</v>
      </c>
      <c r="D23" s="7" t="s">
        <v>93</v>
      </c>
      <c r="E23" s="31" t="s">
        <v>117</v>
      </c>
      <c r="F23" s="7">
        <v>0.23200000000000001</v>
      </c>
      <c r="G23" s="7">
        <v>0.107</v>
      </c>
      <c r="H23" s="7" t="s">
        <v>34</v>
      </c>
      <c r="I23" s="7"/>
      <c r="J23" s="7"/>
      <c r="K23" s="7"/>
      <c r="L23" s="7" t="str">
        <f>VLOOKUP(C23,'LU CLASS'!$B$2:$E$26,4,FALSE)</f>
        <v>10-Tropical High Forest</v>
      </c>
    </row>
    <row r="24" spans="1:12" x14ac:dyDescent="0.15">
      <c r="A24" s="17">
        <v>16</v>
      </c>
      <c r="B24" s="7" t="s">
        <v>35</v>
      </c>
      <c r="C24" s="31" t="s">
        <v>80</v>
      </c>
      <c r="D24" s="7" t="s">
        <v>93</v>
      </c>
      <c r="E24" s="31" t="s">
        <v>117</v>
      </c>
      <c r="F24" s="7">
        <v>0.23200000000000001</v>
      </c>
      <c r="G24" s="7">
        <v>0.107</v>
      </c>
      <c r="H24" s="7" t="s">
        <v>34</v>
      </c>
      <c r="I24" s="7"/>
      <c r="J24" s="7"/>
      <c r="K24" s="7"/>
      <c r="L24" s="7" t="str">
        <f>VLOOKUP(C24,'LU CLASS'!$B$2:$E$26,4,FALSE)</f>
        <v>11-Tropical High Forest</v>
      </c>
    </row>
    <row r="25" spans="1:12" x14ac:dyDescent="0.15">
      <c r="A25" s="17">
        <v>17</v>
      </c>
      <c r="B25" s="7" t="s">
        <v>35</v>
      </c>
      <c r="C25" s="31" t="s">
        <v>69</v>
      </c>
      <c r="D25" s="7" t="s">
        <v>93</v>
      </c>
      <c r="E25" s="31" t="s">
        <v>117</v>
      </c>
      <c r="F25" s="7">
        <v>0.23200000000000001</v>
      </c>
      <c r="G25" s="7">
        <v>0.107</v>
      </c>
      <c r="H25" s="7" t="s">
        <v>34</v>
      </c>
      <c r="I25" s="7"/>
      <c r="J25" s="7"/>
      <c r="K25" s="7"/>
      <c r="L25" s="7" t="str">
        <f>VLOOKUP(C25,'LU CLASS'!$B$2:$E$26,4,FALSE)</f>
        <v>12-Tropical High Forest</v>
      </c>
    </row>
    <row r="26" spans="1:12" x14ac:dyDescent="0.15">
      <c r="A26" s="17">
        <v>18</v>
      </c>
      <c r="B26" s="7" t="s">
        <v>35</v>
      </c>
      <c r="C26" s="7" t="s">
        <v>64</v>
      </c>
      <c r="D26" s="7" t="s">
        <v>93</v>
      </c>
      <c r="E26" s="31" t="s">
        <v>117</v>
      </c>
      <c r="F26" s="7">
        <v>0.33200000000000002</v>
      </c>
      <c r="G26" s="7">
        <v>0.247</v>
      </c>
      <c r="H26" s="7" t="s">
        <v>34</v>
      </c>
      <c r="I26" s="7"/>
      <c r="J26" s="7"/>
      <c r="K26" s="7"/>
      <c r="L26" s="7" t="str">
        <f>VLOOKUP(C26,'LU CLASS'!$B$2:$E$26,4,FALSE)</f>
        <v>30-Woodlands</v>
      </c>
    </row>
    <row r="27" spans="1:12" x14ac:dyDescent="0.15">
      <c r="A27" s="17">
        <v>19</v>
      </c>
      <c r="B27" s="7" t="s">
        <v>35</v>
      </c>
      <c r="C27" s="7" t="s">
        <v>78</v>
      </c>
      <c r="D27" s="7" t="s">
        <v>93</v>
      </c>
      <c r="E27" s="31" t="s">
        <v>117</v>
      </c>
      <c r="F27" s="7">
        <v>0.33200000000000002</v>
      </c>
      <c r="G27" s="7">
        <v>0.247</v>
      </c>
      <c r="H27" s="7" t="s">
        <v>34</v>
      </c>
      <c r="I27" s="7"/>
      <c r="J27" s="7"/>
      <c r="K27" s="7"/>
      <c r="L27" s="7" t="str">
        <f>VLOOKUP(C27,'LU CLASS'!$B$2:$E$26,4,FALSE)</f>
        <v>31-Woodlands</v>
      </c>
    </row>
    <row r="28" spans="1:12" x14ac:dyDescent="0.15">
      <c r="A28" s="17">
        <v>20</v>
      </c>
      <c r="B28" s="7" t="s">
        <v>35</v>
      </c>
      <c r="C28" s="7" t="s">
        <v>72</v>
      </c>
      <c r="D28" s="7" t="s">
        <v>93</v>
      </c>
      <c r="E28" s="31" t="s">
        <v>117</v>
      </c>
      <c r="F28" s="7">
        <v>0.33200000000000002</v>
      </c>
      <c r="G28" s="7">
        <v>0.247</v>
      </c>
      <c r="H28" s="7" t="s">
        <v>34</v>
      </c>
      <c r="I28" s="7"/>
      <c r="J28" s="7"/>
      <c r="K28" s="7"/>
      <c r="L28" s="7" t="str">
        <f>VLOOKUP(C28,'LU CLASS'!$B$2:$E$26,4,FALSE)</f>
        <v>32-Woodlands</v>
      </c>
    </row>
    <row r="29" spans="1:12" x14ac:dyDescent="0.15">
      <c r="A29" s="17">
        <v>21</v>
      </c>
      <c r="B29" s="7" t="s">
        <v>35</v>
      </c>
      <c r="C29" s="7" t="s">
        <v>74</v>
      </c>
      <c r="D29" s="7" t="s">
        <v>93</v>
      </c>
      <c r="E29" s="31" t="s">
        <v>117</v>
      </c>
      <c r="F29" s="7">
        <v>0.33200000000000002</v>
      </c>
      <c r="G29" s="7">
        <v>0.247</v>
      </c>
      <c r="H29" s="7" t="s">
        <v>34</v>
      </c>
      <c r="I29" s="7"/>
      <c r="J29" s="7"/>
      <c r="K29" s="7"/>
      <c r="L29" s="7" t="str">
        <f>VLOOKUP(C29,'LU CLASS'!$B$2:$E$26,4,FALSE)</f>
        <v>33-Woodlands</v>
      </c>
    </row>
    <row r="30" spans="1:12" x14ac:dyDescent="0.15">
      <c r="A30" s="17">
        <v>22</v>
      </c>
      <c r="B30" s="7" t="s">
        <v>35</v>
      </c>
      <c r="C30" s="7" t="s">
        <v>76</v>
      </c>
      <c r="D30" s="7" t="s">
        <v>93</v>
      </c>
      <c r="E30" s="31" t="s">
        <v>117</v>
      </c>
      <c r="F30" s="7">
        <v>0.33200000000000002</v>
      </c>
      <c r="G30" s="7">
        <v>0.247</v>
      </c>
      <c r="H30" s="7" t="s">
        <v>34</v>
      </c>
      <c r="I30" s="7"/>
      <c r="J30" s="7"/>
      <c r="K30" s="7"/>
      <c r="L30" s="7" t="str">
        <f>VLOOKUP(C30,'LU CLASS'!$B$2:$E$26,4,FALSE)</f>
        <v>34-Woodlands</v>
      </c>
    </row>
    <row r="31" spans="1:12" x14ac:dyDescent="0.15">
      <c r="A31" s="17">
        <v>23</v>
      </c>
      <c r="B31" s="7" t="s">
        <v>35</v>
      </c>
      <c r="C31" s="17" t="s">
        <v>65</v>
      </c>
      <c r="D31" s="7" t="s">
        <v>93</v>
      </c>
      <c r="E31" s="31" t="s">
        <v>117</v>
      </c>
      <c r="F31" s="7">
        <v>0.23200000000000001</v>
      </c>
      <c r="G31" s="7">
        <v>0.107</v>
      </c>
      <c r="H31" s="7" t="s">
        <v>34</v>
      </c>
      <c r="I31" s="7"/>
      <c r="J31" s="7"/>
      <c r="K31" s="7"/>
      <c r="L31" s="7" t="str">
        <f>VLOOKUP(C31,'LU CLASS'!$B$2:$E$26,4,FALSE)</f>
        <v>51-Plantations commercial</v>
      </c>
    </row>
    <row r="32" spans="1:12" x14ac:dyDescent="0.15">
      <c r="A32" s="17">
        <v>24</v>
      </c>
      <c r="B32" s="7" t="s">
        <v>35</v>
      </c>
      <c r="C32" s="17" t="s">
        <v>67</v>
      </c>
      <c r="D32" s="7" t="s">
        <v>93</v>
      </c>
      <c r="E32" s="31" t="s">
        <v>117</v>
      </c>
      <c r="F32" s="7">
        <v>0.23200000000000001</v>
      </c>
      <c r="G32" s="7">
        <v>0.107</v>
      </c>
      <c r="H32" s="7" t="s">
        <v>34</v>
      </c>
      <c r="I32" s="7"/>
      <c r="J32" s="7"/>
      <c r="K32" s="7"/>
      <c r="L32" s="7" t="str">
        <f>VLOOKUP(C32,'LU CLASS'!$B$2:$E$26,4,FALSE)</f>
        <v>52-Plantations non commercial</v>
      </c>
    </row>
    <row r="33" spans="1:12" x14ac:dyDescent="0.15">
      <c r="A33" s="17">
        <v>25</v>
      </c>
      <c r="B33" s="7" t="s">
        <v>35</v>
      </c>
      <c r="C33" s="7" t="s">
        <v>68</v>
      </c>
      <c r="D33" s="7" t="s">
        <v>93</v>
      </c>
      <c r="E33" s="31" t="s">
        <v>117</v>
      </c>
      <c r="F33" s="7">
        <v>0.23200000000000001</v>
      </c>
      <c r="G33" s="7">
        <v>0.107</v>
      </c>
      <c r="H33" s="7" t="s">
        <v>34</v>
      </c>
      <c r="I33" s="7"/>
      <c r="J33" s="7"/>
      <c r="K33" s="7"/>
      <c r="L33" s="7" t="str">
        <f>VLOOKUP(C33,'LU CLASS'!$B$2:$E$26,4,FALSE)</f>
        <v>71-Cropland_perennial</v>
      </c>
    </row>
    <row r="34" spans="1:12" x14ac:dyDescent="0.15">
      <c r="A34" s="17">
        <v>26</v>
      </c>
      <c r="B34" s="7" t="s">
        <v>35</v>
      </c>
      <c r="C34" s="7" t="s">
        <v>66</v>
      </c>
      <c r="D34" s="7" t="s">
        <v>93</v>
      </c>
      <c r="E34" s="31" t="s">
        <v>117</v>
      </c>
      <c r="F34" s="7">
        <v>0.23200000000000001</v>
      </c>
      <c r="G34" s="7">
        <v>0.107</v>
      </c>
      <c r="H34" s="7" t="s">
        <v>34</v>
      </c>
      <c r="I34" s="7"/>
      <c r="J34" s="7"/>
      <c r="K34" s="7"/>
      <c r="L34" s="7" t="str">
        <f>VLOOKUP(C34,'LU CLASS'!$B$2:$E$26,4,FALSE)</f>
        <v>72-Cropland_annual</v>
      </c>
    </row>
    <row r="35" spans="1:12" x14ac:dyDescent="0.15">
      <c r="A35" s="17">
        <v>27</v>
      </c>
      <c r="B35" s="7" t="s">
        <v>35</v>
      </c>
      <c r="C35" s="7" t="s">
        <v>62</v>
      </c>
      <c r="D35" s="7" t="s">
        <v>93</v>
      </c>
      <c r="E35" s="31" t="s">
        <v>117</v>
      </c>
      <c r="F35" s="7">
        <v>0.33200000000000002</v>
      </c>
      <c r="G35" s="7">
        <v>0.247</v>
      </c>
      <c r="H35" s="7" t="s">
        <v>34</v>
      </c>
      <c r="I35" s="7"/>
      <c r="J35" s="7"/>
      <c r="K35" s="7"/>
      <c r="L35" s="7" t="str">
        <f>VLOOKUP(C35,'LU CLASS'!$B$2:$E$26,4,FALSE)</f>
        <v>80-Grassland</v>
      </c>
    </row>
  </sheetData>
  <autoFilter ref="A1:K35" xr:uid="{00000000-0001-0000-0400-000000000000}">
    <sortState xmlns:xlrd2="http://schemas.microsoft.com/office/spreadsheetml/2017/richdata2" ref="A2:K35">
      <sortCondition ref="D1:D35"/>
    </sortState>
  </autoFilter>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8FB28E-5156-460C-8DA6-CBBD554E8CA0}">
  <dimension ref="A1:E26"/>
  <sheetViews>
    <sheetView zoomScale="130" zoomScaleNormal="130" workbookViewId="0">
      <selection activeCell="C32" sqref="C32"/>
    </sheetView>
  </sheetViews>
  <sheetFormatPr baseColWidth="10" defaultColWidth="8.83203125" defaultRowHeight="13" x14ac:dyDescent="0.15"/>
  <cols>
    <col min="1" max="1" width="5" customWidth="1"/>
    <col min="2" max="2" width="14.6640625" customWidth="1"/>
    <col min="3" max="3" width="34" customWidth="1"/>
    <col min="4" max="4" width="17" customWidth="1"/>
    <col min="5" max="5" width="36.33203125" bestFit="1" customWidth="1"/>
    <col min="6" max="6" width="12.83203125" bestFit="1" customWidth="1"/>
    <col min="7" max="7" width="33.83203125" bestFit="1" customWidth="1"/>
  </cols>
  <sheetData>
    <row r="1" spans="1:5" x14ac:dyDescent="0.15">
      <c r="A1" s="35" t="s">
        <v>122</v>
      </c>
      <c r="B1" s="35" t="s">
        <v>119</v>
      </c>
      <c r="C1" s="35" t="s">
        <v>120</v>
      </c>
      <c r="D1" s="35" t="s">
        <v>121</v>
      </c>
      <c r="E1" s="35" t="s">
        <v>123</v>
      </c>
    </row>
    <row r="2" spans="1:5" x14ac:dyDescent="0.15">
      <c r="A2">
        <v>10</v>
      </c>
      <c r="B2" s="8" t="s">
        <v>61</v>
      </c>
      <c r="C2" s="9" t="s">
        <v>98</v>
      </c>
      <c r="D2" t="str">
        <f>A2&amp;"-"&amp;B2</f>
        <v>10-THF</v>
      </c>
      <c r="E2" t="str">
        <f>A2&amp;"-"&amp;C2</f>
        <v>10-Tropical High Forest</v>
      </c>
    </row>
    <row r="3" spans="1:5" x14ac:dyDescent="0.15">
      <c r="A3">
        <v>11</v>
      </c>
      <c r="B3" s="7" t="s">
        <v>80</v>
      </c>
      <c r="C3" t="s">
        <v>98</v>
      </c>
      <c r="D3" t="str">
        <f t="shared" ref="D3:D26" si="0">A3&amp;"-"&amp;B3</f>
        <v>11-THF_otha</v>
      </c>
      <c r="E3" t="str">
        <f t="shared" ref="E3:E26" si="1">A3&amp;"-"&amp;C3</f>
        <v>11-Tropical High Forest</v>
      </c>
    </row>
    <row r="4" spans="1:5" x14ac:dyDescent="0.15">
      <c r="A4">
        <v>12</v>
      </c>
      <c r="B4" s="7" t="s">
        <v>69</v>
      </c>
      <c r="C4" t="s">
        <v>98</v>
      </c>
      <c r="D4" t="str">
        <f t="shared" si="0"/>
        <v>12-THF_log</v>
      </c>
      <c r="E4" t="str">
        <f t="shared" si="1"/>
        <v>12-Tropical High Forest</v>
      </c>
    </row>
    <row r="5" spans="1:5" x14ac:dyDescent="0.15">
      <c r="A5">
        <v>20</v>
      </c>
      <c r="B5" s="8" t="s">
        <v>118</v>
      </c>
      <c r="C5" s="9" t="s">
        <v>100</v>
      </c>
      <c r="D5" t="str">
        <f t="shared" si="0"/>
        <v>20-THF_deg</v>
      </c>
      <c r="E5" t="str">
        <f t="shared" si="1"/>
        <v>20-Tropical High Forest Degraded</v>
      </c>
    </row>
    <row r="6" spans="1:5" x14ac:dyDescent="0.15">
      <c r="A6">
        <v>21</v>
      </c>
      <c r="B6" s="5" t="s">
        <v>81</v>
      </c>
      <c r="C6" t="s">
        <v>115</v>
      </c>
      <c r="D6" t="str">
        <f t="shared" si="0"/>
        <v>21-THF_otha_deg</v>
      </c>
      <c r="E6" t="str">
        <f t="shared" si="1"/>
        <v>21-Tropical High Forest Degraded by other</v>
      </c>
    </row>
    <row r="7" spans="1:5" x14ac:dyDescent="0.15">
      <c r="A7">
        <v>22</v>
      </c>
      <c r="B7" s="5" t="s">
        <v>70</v>
      </c>
      <c r="C7" t="s">
        <v>116</v>
      </c>
      <c r="D7" t="str">
        <f t="shared" si="0"/>
        <v>22-THF_log_deg</v>
      </c>
      <c r="E7" t="str">
        <f t="shared" si="1"/>
        <v>22-Tropical High Forest Degraded by logging</v>
      </c>
    </row>
    <row r="8" spans="1:5" x14ac:dyDescent="0.15">
      <c r="A8">
        <v>30</v>
      </c>
      <c r="B8" s="8" t="s">
        <v>64</v>
      </c>
      <c r="C8" s="9" t="s">
        <v>99</v>
      </c>
      <c r="D8" t="str">
        <f t="shared" si="0"/>
        <v>30-WD</v>
      </c>
      <c r="E8" t="str">
        <f t="shared" si="1"/>
        <v>30-Woodlands</v>
      </c>
    </row>
    <row r="9" spans="1:5" x14ac:dyDescent="0.15">
      <c r="A9">
        <v>31</v>
      </c>
      <c r="B9" t="s">
        <v>78</v>
      </c>
      <c r="C9" t="s">
        <v>99</v>
      </c>
      <c r="D9" t="str">
        <f t="shared" si="0"/>
        <v>31-WD_fire</v>
      </c>
      <c r="E9" t="str">
        <f t="shared" si="1"/>
        <v>31-Woodlands</v>
      </c>
    </row>
    <row r="10" spans="1:5" x14ac:dyDescent="0.15">
      <c r="A10">
        <v>32</v>
      </c>
      <c r="B10" t="s">
        <v>72</v>
      </c>
      <c r="C10" t="s">
        <v>99</v>
      </c>
      <c r="D10" t="str">
        <f t="shared" si="0"/>
        <v>32-WD_log</v>
      </c>
      <c r="E10" t="str">
        <f t="shared" si="1"/>
        <v>32-Woodlands</v>
      </c>
    </row>
    <row r="11" spans="1:5" x14ac:dyDescent="0.15">
      <c r="A11">
        <v>33</v>
      </c>
      <c r="B11" t="s">
        <v>74</v>
      </c>
      <c r="C11" t="s">
        <v>99</v>
      </c>
      <c r="D11" t="str">
        <f t="shared" si="0"/>
        <v>33-WD_charc</v>
      </c>
      <c r="E11" t="str">
        <f t="shared" si="1"/>
        <v>33-Woodlands</v>
      </c>
    </row>
    <row r="12" spans="1:5" x14ac:dyDescent="0.15">
      <c r="A12">
        <v>34</v>
      </c>
      <c r="B12" t="s">
        <v>76</v>
      </c>
      <c r="C12" t="s">
        <v>99</v>
      </c>
      <c r="D12" t="str">
        <f t="shared" si="0"/>
        <v>34-WD_other</v>
      </c>
      <c r="E12" t="str">
        <f t="shared" si="1"/>
        <v>34-Woodlands</v>
      </c>
    </row>
    <row r="13" spans="1:5" x14ac:dyDescent="0.15">
      <c r="A13">
        <v>40</v>
      </c>
      <c r="B13" s="8" t="s">
        <v>101</v>
      </c>
      <c r="C13" s="9" t="s">
        <v>102</v>
      </c>
      <c r="D13" t="str">
        <f t="shared" si="0"/>
        <v>40-WD_deg</v>
      </c>
      <c r="E13" t="str">
        <f t="shared" si="1"/>
        <v>40-Woodlands_Degraded</v>
      </c>
    </row>
    <row r="14" spans="1:5" x14ac:dyDescent="0.15">
      <c r="A14">
        <v>41</v>
      </c>
      <c r="B14" s="8" t="s">
        <v>79</v>
      </c>
      <c r="C14" s="9" t="s">
        <v>109</v>
      </c>
      <c r="D14" t="str">
        <f t="shared" si="0"/>
        <v>41-WD_fire_deg</v>
      </c>
      <c r="E14" t="str">
        <f t="shared" si="1"/>
        <v>41-Woodlands_Degraded_by_fire</v>
      </c>
    </row>
    <row r="15" spans="1:5" x14ac:dyDescent="0.15">
      <c r="A15">
        <v>42</v>
      </c>
      <c r="B15" t="s">
        <v>73</v>
      </c>
      <c r="C15" t="s">
        <v>110</v>
      </c>
      <c r="D15" t="str">
        <f t="shared" si="0"/>
        <v>42-WD_log_deg</v>
      </c>
      <c r="E15" t="str">
        <f t="shared" si="1"/>
        <v>42-Woodlands_Degraded_by_logging</v>
      </c>
    </row>
    <row r="16" spans="1:5" x14ac:dyDescent="0.15">
      <c r="A16">
        <v>43</v>
      </c>
      <c r="B16" t="s">
        <v>75</v>
      </c>
      <c r="C16" t="s">
        <v>111</v>
      </c>
      <c r="D16" t="str">
        <f t="shared" si="0"/>
        <v>43-WD_charc_deg</v>
      </c>
      <c r="E16" t="str">
        <f t="shared" si="1"/>
        <v>43-Woodlands_Degraded_by_charcoal</v>
      </c>
    </row>
    <row r="17" spans="1:5" x14ac:dyDescent="0.15">
      <c r="A17">
        <v>44</v>
      </c>
      <c r="B17" t="s">
        <v>77</v>
      </c>
      <c r="C17" t="s">
        <v>112</v>
      </c>
      <c r="D17" t="str">
        <f t="shared" si="0"/>
        <v>44-WD_other_deg</v>
      </c>
      <c r="E17" t="str">
        <f t="shared" si="1"/>
        <v>44-Woodlands_Degraded_by_other</v>
      </c>
    </row>
    <row r="18" spans="1:5" x14ac:dyDescent="0.15">
      <c r="A18">
        <v>51</v>
      </c>
      <c r="B18" s="8" t="s">
        <v>65</v>
      </c>
      <c r="C18" s="9" t="s">
        <v>96</v>
      </c>
      <c r="D18" t="str">
        <f t="shared" si="0"/>
        <v>51-FPc</v>
      </c>
      <c r="E18" t="str">
        <f t="shared" si="1"/>
        <v>51-Plantations commercial</v>
      </c>
    </row>
    <row r="19" spans="1:5" x14ac:dyDescent="0.15">
      <c r="A19">
        <v>52</v>
      </c>
      <c r="B19" s="8" t="s">
        <v>67</v>
      </c>
      <c r="C19" s="9" t="s">
        <v>97</v>
      </c>
      <c r="D19" t="str">
        <f t="shared" si="0"/>
        <v>52-FPnc</v>
      </c>
      <c r="E19" t="str">
        <f t="shared" si="1"/>
        <v>52-Plantations non commercial</v>
      </c>
    </row>
    <row r="20" spans="1:5" x14ac:dyDescent="0.15">
      <c r="A20">
        <v>60</v>
      </c>
      <c r="B20" s="8" t="s">
        <v>103</v>
      </c>
      <c r="C20" s="9" t="s">
        <v>104</v>
      </c>
      <c r="D20" t="str">
        <f t="shared" si="0"/>
        <v>60-NF</v>
      </c>
      <c r="E20" t="str">
        <f t="shared" si="1"/>
        <v>60-Non Forest</v>
      </c>
    </row>
    <row r="21" spans="1:5" x14ac:dyDescent="0.15">
      <c r="A21">
        <v>70</v>
      </c>
      <c r="B21" s="8" t="s">
        <v>105</v>
      </c>
      <c r="C21" s="9" t="s">
        <v>106</v>
      </c>
      <c r="D21" t="str">
        <f t="shared" si="0"/>
        <v>70-CP</v>
      </c>
      <c r="E21" t="str">
        <f t="shared" si="1"/>
        <v>70-Cropland</v>
      </c>
    </row>
    <row r="22" spans="1:5" x14ac:dyDescent="0.15">
      <c r="A22">
        <v>71</v>
      </c>
      <c r="B22" t="s">
        <v>68</v>
      </c>
      <c r="C22" t="s">
        <v>113</v>
      </c>
      <c r="D22" t="str">
        <f t="shared" si="0"/>
        <v>71-CP_p</v>
      </c>
      <c r="E22" t="str">
        <f t="shared" si="1"/>
        <v>71-Cropland_perennial</v>
      </c>
    </row>
    <row r="23" spans="1:5" x14ac:dyDescent="0.15">
      <c r="A23">
        <v>72</v>
      </c>
      <c r="B23" t="s">
        <v>66</v>
      </c>
      <c r="C23" t="s">
        <v>114</v>
      </c>
      <c r="D23" t="str">
        <f t="shared" si="0"/>
        <v>72-CP_a</v>
      </c>
      <c r="E23" t="str">
        <f t="shared" si="1"/>
        <v>72-Cropland_annual</v>
      </c>
    </row>
    <row r="24" spans="1:5" x14ac:dyDescent="0.15">
      <c r="A24">
        <v>80</v>
      </c>
      <c r="B24" s="8" t="s">
        <v>62</v>
      </c>
      <c r="C24" s="9" t="s">
        <v>107</v>
      </c>
      <c r="D24" t="str">
        <f t="shared" si="0"/>
        <v>80-GL</v>
      </c>
      <c r="E24" t="str">
        <f t="shared" si="1"/>
        <v>80-Grassland</v>
      </c>
    </row>
    <row r="25" spans="1:5" x14ac:dyDescent="0.15">
      <c r="A25">
        <v>90</v>
      </c>
      <c r="B25" s="8" t="s">
        <v>82</v>
      </c>
      <c r="C25" s="9" t="s">
        <v>108</v>
      </c>
      <c r="D25" t="str">
        <f t="shared" si="0"/>
        <v>90-Set</v>
      </c>
      <c r="E25" t="str">
        <f t="shared" si="1"/>
        <v>90-Settlement</v>
      </c>
    </row>
    <row r="26" spans="1:5" x14ac:dyDescent="0.15">
      <c r="A26">
        <v>99</v>
      </c>
      <c r="B26" s="5" t="s">
        <v>35</v>
      </c>
      <c r="C26" s="5" t="s">
        <v>35</v>
      </c>
      <c r="D26" t="str">
        <f t="shared" si="0"/>
        <v>99-ALL</v>
      </c>
      <c r="E26" t="str">
        <f t="shared" si="1"/>
        <v>99-ALL</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kae7f6409c1a45b5af70ba169c41da0e xmlns="82302deb-32b0-442b-bedc-ba64a9aa8ccd">
      <Terms xmlns="http://schemas.microsoft.com/office/infopath/2007/PartnerControls"/>
    </kae7f6409c1a45b5af70ba169c41da0e>
    <REDD_x002f_NFM_x0020_category xmlns="cc7ce8ca-8f52-44ec-9496-3c41d0f5ad18" xsi:nil="true"/>
    <TaxKeywordTaxHTField xmlns="cc7ce8ca-8f52-44ec-9496-3c41d0f5ad18">
      <Terms xmlns="http://schemas.microsoft.com/office/infopath/2007/PartnerControls"/>
    </TaxKeywordTaxHTField>
    <lcf76f155ced4ddcb4097134ff3c332f xmlns="82302deb-32b0-442b-bedc-ba64a9aa8ccd">
      <Terms xmlns="http://schemas.microsoft.com/office/infopath/2007/PartnerControls"/>
    </lcf76f155ced4ddcb4097134ff3c332f>
    <TaxCatchAll xmlns="cc7ce8ca-8f52-44ec-9496-3c41d0f5ad1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082C08FD3D0614AAB94B75C024070A7" ma:contentTypeVersion="29" ma:contentTypeDescription="Create a new document." ma:contentTypeScope="" ma:versionID="9b29f169df300b8b2981d74b0081413f">
  <xsd:schema xmlns:xsd="http://www.w3.org/2001/XMLSchema" xmlns:xs="http://www.w3.org/2001/XMLSchema" xmlns:p="http://schemas.microsoft.com/office/2006/metadata/properties" xmlns:ns2="82302deb-32b0-442b-bedc-ba64a9aa8ccd" xmlns:ns3="cc7ce8ca-8f52-44ec-9496-3c41d0f5ad18" targetNamespace="http://schemas.microsoft.com/office/2006/metadata/properties" ma:root="true" ma:fieldsID="c2fbaf1ae978ca53b8e54b151e621d95" ns2:_="" ns3:_="">
    <xsd:import namespace="82302deb-32b0-442b-bedc-ba64a9aa8ccd"/>
    <xsd:import namespace="cc7ce8ca-8f52-44ec-9496-3c41d0f5ad1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2:MediaServiceGenerationTime" minOccurs="0"/>
                <xsd:element ref="ns2:MediaServiceEventHashCode" minOccurs="0"/>
                <xsd:element ref="ns2:MediaServiceAutoKeyPoints" minOccurs="0"/>
                <xsd:element ref="ns2:MediaServiceKeyPoints" minOccurs="0"/>
                <xsd:element ref="ns3:SharedWithUsers" minOccurs="0"/>
                <xsd:element ref="ns3:SharedWithDetails" minOccurs="0"/>
                <xsd:element ref="ns3:REDD_x002f_NFM_x0020_category" minOccurs="0"/>
                <xsd:element ref="ns3:TaxCatchAll" minOccurs="0"/>
                <xsd:element ref="ns3:TaxKeywordTaxHTField" minOccurs="0"/>
                <xsd:element ref="ns2:MediaLengthInSeconds" minOccurs="0"/>
                <xsd:element ref="ns2:lcf76f155ced4ddcb4097134ff3c332f" minOccurs="0"/>
                <xsd:element ref="ns2:MediaServiceObjectDetectorVersions" minOccurs="0"/>
                <xsd:element ref="ns2:MediaServiceSearchProperties" minOccurs="0"/>
                <xsd:element ref="ns2:kae7f6409c1a45b5af70ba169c41da0e"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302deb-32b0-442b-bedc-ba64a9aa8cc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Location" ma:internalName="MediaServiceLocatio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4" nillable="true" ma:displayName="Length (seconds)" ma:internalName="MediaLengthInSeconds" ma:readOnly="true">
      <xsd:simpleType>
        <xsd:restriction base="dms:Unknown"/>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8" nillable="true" ma:displayName="MediaServiceSearchProperties" ma:hidden="true" ma:internalName="MediaServiceSearchProperties" ma:readOnly="true">
      <xsd:simpleType>
        <xsd:restriction base="dms:Note"/>
      </xsd:simpleType>
    </xsd:element>
    <xsd:element name="kae7f6409c1a45b5af70ba169c41da0e" ma:index="30" nillable="true" ma:taxonomy="true" ma:internalName="kae7f6409c1a45b5af70ba169c41da0e" ma:taxonomyFieldName="Weight" ma:displayName="Weight" ma:default="" ma:fieldId="{4ae7f640-9c1a-45b5-af70-ba169c41da0e}" ma:sspId="f40eee1e-ad38-437e-be40-fc9f033adc9a" ma:termSetId="87d46d98-46dd-4ca0-8638-769b191599cd" ma:anchorId="00000000-0000-0000-0000-000000000000" ma:open="true" ma:isKeyword="false">
      <xsd:complexType>
        <xsd:sequence>
          <xsd:element ref="pc:Terms" minOccurs="0" maxOccurs="1"/>
        </xsd:sequence>
      </xsd:complexType>
    </xsd:element>
    <xsd:element name="MediaServiceBillingMetadata" ma:index="3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c7ce8ca-8f52-44ec-9496-3c41d0f5ad18"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REDD_x002f_NFM_x0020_category" ma:index="20" nillable="true" ma:displayName="REDD/NFM category" ma:list="{47579d77-2321-40b5-9ad4-2d6d6ce9c501}" ma:internalName="REDD_x002F_NFM_x0020_category" ma:showField="Title" ma:web="cc7ce8ca-8f52-44ec-9496-3c41d0f5ad18">
      <xsd:complexType>
        <xsd:complexContent>
          <xsd:extension base="dms:MultiChoiceLookup">
            <xsd:sequence>
              <xsd:element name="Value" type="dms:Lookup" maxOccurs="unbounded" minOccurs="0" nillable="true"/>
            </xsd:sequence>
          </xsd:extension>
        </xsd:complexContent>
      </xsd:complexType>
    </xsd:element>
    <xsd:element name="TaxCatchAll" ma:index="21" nillable="true" ma:displayName="Taxonomy Catch All Column" ma:hidden="true" ma:list="{dda2a781-49f9-4958-8522-b106e211dbae}" ma:internalName="TaxCatchAll" ma:showField="CatchAllData" ma:web="cc7ce8ca-8f52-44ec-9496-3c41d0f5ad18">
      <xsd:complexType>
        <xsd:complexContent>
          <xsd:extension base="dms:MultiChoiceLookup">
            <xsd:sequence>
              <xsd:element name="Value" type="dms:Lookup" maxOccurs="unbounded" minOccurs="0" nillable="true"/>
            </xsd:sequence>
          </xsd:extension>
        </xsd:complexContent>
      </xsd:complexType>
    </xsd:element>
    <xsd:element name="TaxKeywordTaxHTField" ma:index="22" nillable="true" ma:taxonomy="true" ma:internalName="TaxKeywordTaxHTField" ma:taxonomyFieldName="TaxKeyword" ma:displayName="Enterprise Keywords" ma:fieldId="{23f27201-bee3-471e-b2e7-b64fd8b7ca38}" ma:taxonomyMulti="true" ma:sspId="f40eee1e-ad38-437e-be40-fc9f033adc9a" ma:termSetId="00000000-0000-0000-0000-000000000000" ma:anchorId="00000000-0000-0000-0000-000000000000" ma:open="true" ma:isKeyword="tru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C22356F-AD67-4305-98D2-7F3132E3988B}">
  <ds:schemaRefs>
    <ds:schemaRef ds:uri="http://schemas.microsoft.com/sharepoint/v3/contenttype/forms"/>
  </ds:schemaRefs>
</ds:datastoreItem>
</file>

<file path=customXml/itemProps2.xml><?xml version="1.0" encoding="utf-8"?>
<ds:datastoreItem xmlns:ds="http://schemas.openxmlformats.org/officeDocument/2006/customXml" ds:itemID="{5867863F-1726-4766-90FA-76F48859C53D}">
  <ds:schemaRefs>
    <ds:schemaRef ds:uri="http://schemas.microsoft.com/office/2006/metadata/properties"/>
    <ds:schemaRef ds:uri="http://schemas.microsoft.com/office/infopath/2007/PartnerControls"/>
    <ds:schemaRef ds:uri="82302deb-32b0-442b-bedc-ba64a9aa8ccd"/>
    <ds:schemaRef ds:uri="cc7ce8ca-8f52-44ec-9496-3c41d0f5ad18"/>
  </ds:schemaRefs>
</ds:datastoreItem>
</file>

<file path=customXml/itemProps3.xml><?xml version="1.0" encoding="utf-8"?>
<ds:datastoreItem xmlns:ds="http://schemas.openxmlformats.org/officeDocument/2006/customXml" ds:itemID="{632E3449-681E-48EC-89A9-004DF5548FA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2302deb-32b0-442b-bedc-ba64a9aa8ccd"/>
    <ds:schemaRef ds:uri="cc7ce8ca-8f52-44ec-9496-3c41d0f5ad1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Instructions</vt:lpstr>
      <vt:lpstr>user_input_details</vt:lpstr>
      <vt:lpstr>setup</vt:lpstr>
      <vt:lpstr>time</vt:lpstr>
      <vt:lpstr>area</vt:lpstr>
      <vt:lpstr>carbon</vt:lpstr>
      <vt:lpstr>LU CLASS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Kaluuba, Enock (FAOUG)</dc:creator>
  <cp:keywords/>
  <dc:description/>
  <cp:lastModifiedBy>Gaël SOLA</cp:lastModifiedBy>
  <cp:revision/>
  <dcterms:created xsi:type="dcterms:W3CDTF">2024-12-16T16:11:00Z</dcterms:created>
  <dcterms:modified xsi:type="dcterms:W3CDTF">2026-07-18T16:11:15Z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6766B0EF1ABC0E345B183969069FEEF0_43</vt:lpwstr>
  </property>
  <property fmtid="{D5CDD505-2E9C-101B-9397-08002B2CF9AE}" pid="3" name="KSOProductBuildVer">
    <vt:lpwstr>1033-6.12.1.8654</vt:lpwstr>
  </property>
  <property fmtid="{D5CDD505-2E9C-101B-9397-08002B2CF9AE}" pid="4" name="ContentTypeId">
    <vt:lpwstr>0x0101003082C08FD3D0614AAB94B75C024070A7</vt:lpwstr>
  </property>
  <property fmtid="{D5CDD505-2E9C-101B-9397-08002B2CF9AE}" pid="5" name="TaxKeyword">
    <vt:lpwstr/>
  </property>
</Properties>
</file>