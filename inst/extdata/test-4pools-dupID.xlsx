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40B2FED9-9B11-E94C-8714-7497B68273CE}" xr6:coauthVersionLast="47" xr6:coauthVersionMax="47" xr10:uidLastSave="{00000000-0000-0000-0000-000000000000}"/>
  <bookViews>
    <workbookView xWindow="740" yWindow="660" windowWidth="28660" windowHeight="18460" activeTab="3" xr2:uid="{00000000-000D-0000-FFFF-FFFF00000000}"/>
  </bookViews>
  <sheets>
    <sheet name="setup" sheetId="5" r:id="rId1"/>
    <sheet name="time" sheetId="4" r:id="rId2"/>
    <sheet name="area" sheetId="10" r:id="rId3"/>
    <sheet name="carbon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9" l="1"/>
  <c r="I34" i="9"/>
  <c r="I35" i="9"/>
  <c r="I36" i="9"/>
  <c r="I37" i="9"/>
  <c r="I32" i="9"/>
  <c r="H33" i="9"/>
  <c r="H34" i="9"/>
  <c r="H35" i="9"/>
  <c r="H36" i="9"/>
  <c r="H37" i="9"/>
  <c r="H32" i="9"/>
</calcChain>
</file>

<file path=xl/sharedStrings.xml><?xml version="1.0" encoding="utf-8"?>
<sst xmlns="http://schemas.openxmlformats.org/spreadsheetml/2006/main" count="429" uniqueCount="72">
  <si>
    <t>trans_no</t>
  </si>
  <si>
    <t>trans_area</t>
  </si>
  <si>
    <t>trans_se</t>
  </si>
  <si>
    <t>trans_pdf</t>
  </si>
  <si>
    <t>trans_pdf_a</t>
  </si>
  <si>
    <t>trans_pdf_b</t>
  </si>
  <si>
    <t>trans_pdf_c</t>
  </si>
  <si>
    <t>DF</t>
  </si>
  <si>
    <t>Open Forest</t>
  </si>
  <si>
    <t>DG</t>
  </si>
  <si>
    <t>c_no</t>
  </si>
  <si>
    <t>c_unit</t>
  </si>
  <si>
    <t>c_value</t>
  </si>
  <si>
    <t>c_se</t>
  </si>
  <si>
    <t>c_pdf</t>
  </si>
  <si>
    <t>c_pdf_a</t>
  </si>
  <si>
    <t>c_pdf_b</t>
  </si>
  <si>
    <t>c_pdf_c</t>
  </si>
  <si>
    <t>AGB</t>
  </si>
  <si>
    <t>C</t>
  </si>
  <si>
    <t>BGB</t>
  </si>
  <si>
    <t>DW</t>
  </si>
  <si>
    <t>LI</t>
  </si>
  <si>
    <t>ALL</t>
  </si>
  <si>
    <t>period_no</t>
  </si>
  <si>
    <t>year_start</t>
  </si>
  <si>
    <t>year_end</t>
  </si>
  <si>
    <t>period_type</t>
  </si>
  <si>
    <t>T1</t>
  </si>
  <si>
    <t>T2</t>
  </si>
  <si>
    <t>T3</t>
  </si>
  <si>
    <t>T4</t>
  </si>
  <si>
    <t>trans_period</t>
  </si>
  <si>
    <t>trunc_pdf</t>
  </si>
  <si>
    <t>n_iter</t>
  </si>
  <si>
    <t>ran_seed</t>
  </si>
  <si>
    <t>DG_ratio</t>
  </si>
  <si>
    <t>ad_annual</t>
  </si>
  <si>
    <t>conf_level</t>
  </si>
  <si>
    <t>dg_pool</t>
  </si>
  <si>
    <t>AGB, BGB, DW</t>
  </si>
  <si>
    <t>REF</t>
  </si>
  <si>
    <t>MON1</t>
  </si>
  <si>
    <t>MON2</t>
  </si>
  <si>
    <t>c_period</t>
  </si>
  <si>
    <t>dg_ext</t>
  </si>
  <si>
    <t>c_element</t>
  </si>
  <si>
    <t>lu_initial</t>
  </si>
  <si>
    <t>lu_final</t>
  </si>
  <si>
    <t>redd_activity</t>
  </si>
  <si>
    <t>digits</t>
  </si>
  <si>
    <t>c_lu</t>
  </si>
  <si>
    <t>Non-Forest Post Open</t>
  </si>
  <si>
    <t>EV Moist Closed Forest</t>
  </si>
  <si>
    <t>Non-Forest Post EV Moist Closed</t>
  </si>
  <si>
    <t>EV Wet Closed Forest</t>
  </si>
  <si>
    <t>Non-Forest Post EV Wet Closed</t>
  </si>
  <si>
    <t>MD Moist Closed SE Forest</t>
  </si>
  <si>
    <t>Non-Forest Post MD Moist Closed SE</t>
  </si>
  <si>
    <t>MD Moist Closed NW Forest</t>
  </si>
  <si>
    <t>Non-Forest Post MD Moist Closed NW</t>
  </si>
  <si>
    <t>EV Upland Forest</t>
  </si>
  <si>
    <t>Non-Forest Post EV Upland</t>
  </si>
  <si>
    <t>Normal</t>
  </si>
  <si>
    <t>Open Forest Degraded</t>
  </si>
  <si>
    <t>EV Wet Closed Forest Degraded</t>
  </si>
  <si>
    <t>EV Moist Closed Forest Degraded</t>
  </si>
  <si>
    <t>MD Moist Closed SE Forest Degraded</t>
  </si>
  <si>
    <t>MD Moist Closed NW Forest Degraded</t>
  </si>
  <si>
    <t>EV Upland Forest Degraded</t>
  </si>
  <si>
    <t>" Degraded"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</si>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</sst>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6" tint="0.79998168889431442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0" fillId="6" borderId="0" xfId="0" applyFill="1"/>
    <xf numFmtId="0" fontId="2" fillId="5" borderId="0" xfId="0" applyFont="1" applyFill="1" applyAlignment="1">
      <alignment horizontal="left"/>
    </xf>
    <xf numFmtId="0" fontId="1" fillId="7" borderId="0" xfId="0" applyFont="1" applyFill="1"/>
    <xf numFmtId="0" fontId="0" fillId="8" borderId="0" xfId="0" applyFill="1"/>
    <xf numFmtId="0" fontId="2" fillId="7" borderId="0" xfId="0" applyFont="1" applyFill="1" applyAlignment="1">
      <alignment horizontal="left"/>
    </xf>
    <xf numFmtId="0" fontId="1" fillId="9" borderId="0" xfId="0" applyFont="1" applyFill="1"/>
    <xf numFmtId="4" fontId="1" fillId="9" borderId="0" xfId="0" applyNumberFormat="1" applyFont="1" applyFill="1"/>
    <xf numFmtId="0" fontId="1" fillId="1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B7CA-5E2C-284E-A17C-8E0897ACEFB0}">
  <dimension ref="A1:I2"/>
  <sheetViews>
    <sheetView zoomScale="186" workbookViewId="0">
      <selection activeCell="B3" sqref="B3"/>
    </sheetView>
  </sheetViews>
  <sheetFormatPr baseColWidth="10" defaultColWidth="11.5" defaultRowHeight="13" x14ac:dyDescent="0.15"/>
  <cols>
    <col min="1" max="1" width="8.83203125" bestFit="1" customWidth="1"/>
    <col min="2" max="2" width="6.1640625" bestFit="1" customWidth="1"/>
    <col min="3" max="3" width="8.83203125" bestFit="1" customWidth="1"/>
    <col min="4" max="4" width="6.1640625" bestFit="1" customWidth="1"/>
    <col min="5" max="5" width="11.6640625" bestFit="1" customWidth="1"/>
    <col min="6" max="6" width="13.1640625" bestFit="1" customWidth="1"/>
    <col min="7" max="8" width="9.6640625" bestFit="1" customWidth="1"/>
    <col min="9" max="9" width="8.5" customWidth="1"/>
  </cols>
  <sheetData>
    <row r="1" spans="1:9" x14ac:dyDescent="0.15">
      <c r="A1" s="17" t="s">
        <v>33</v>
      </c>
      <c r="B1" s="17" t="s">
        <v>34</v>
      </c>
      <c r="C1" s="17" t="s">
        <v>35</v>
      </c>
      <c r="D1" s="17" t="s">
        <v>11</v>
      </c>
      <c r="E1" s="17" t="s">
        <v>45</v>
      </c>
      <c r="F1" s="17" t="s">
        <v>39</v>
      </c>
      <c r="G1" s="17" t="s">
        <v>37</v>
      </c>
      <c r="H1" s="17" t="s">
        <v>38</v>
      </c>
      <c r="I1" s="17" t="s">
        <v>50</v>
      </c>
    </row>
    <row r="2" spans="1:9" x14ac:dyDescent="0.15">
      <c r="A2" t="b">
        <v>0</v>
      </c>
      <c r="B2">
        <v>10000</v>
      </c>
      <c r="C2">
        <v>93</v>
      </c>
      <c r="D2" s="6" t="s">
        <v>19</v>
      </c>
      <c r="E2" s="6" t="s">
        <v>70</v>
      </c>
      <c r="F2" s="6" t="s">
        <v>40</v>
      </c>
      <c r="G2" t="b">
        <v>1</v>
      </c>
      <c r="H2">
        <v>0.9</v>
      </c>
      <c r="I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9DA-46D5-A143-AFBA-1E1D48143306}">
  <dimension ref="A1:D5"/>
  <sheetViews>
    <sheetView zoomScale="152" zoomScaleNormal="152" workbookViewId="0">
      <selection activeCell="D27" sqref="D27"/>
    </sheetView>
  </sheetViews>
  <sheetFormatPr baseColWidth="10" defaultColWidth="11.5" defaultRowHeight="13" x14ac:dyDescent="0.15"/>
  <cols>
    <col min="4" max="4" width="17.33203125" bestFit="1" customWidth="1"/>
  </cols>
  <sheetData>
    <row r="1" spans="1:4" s="17" customFormat="1" x14ac:dyDescent="0.15">
      <c r="A1" s="17" t="s">
        <v>24</v>
      </c>
      <c r="B1" s="17" t="s">
        <v>25</v>
      </c>
      <c r="C1" s="17" t="s">
        <v>26</v>
      </c>
      <c r="D1" s="17" t="s">
        <v>27</v>
      </c>
    </row>
    <row r="2" spans="1:4" x14ac:dyDescent="0.15">
      <c r="A2" s="6" t="s">
        <v>28</v>
      </c>
      <c r="B2" s="6">
        <v>2005</v>
      </c>
      <c r="C2" s="6">
        <v>2014</v>
      </c>
      <c r="D2" s="6" t="s">
        <v>41</v>
      </c>
    </row>
    <row r="3" spans="1:4" x14ac:dyDescent="0.15">
      <c r="A3" s="6" t="s">
        <v>29</v>
      </c>
      <c r="B3" s="6">
        <v>2019</v>
      </c>
      <c r="C3" s="6">
        <v>2019</v>
      </c>
      <c r="D3" s="6" t="s">
        <v>42</v>
      </c>
    </row>
    <row r="4" spans="1:4" x14ac:dyDescent="0.15">
      <c r="A4" s="6" t="s">
        <v>30</v>
      </c>
      <c r="B4" s="6">
        <v>2020</v>
      </c>
      <c r="C4" s="6">
        <v>2020</v>
      </c>
      <c r="D4" s="6" t="s">
        <v>43</v>
      </c>
    </row>
    <row r="5" spans="1:4" x14ac:dyDescent="0.15">
      <c r="A5" s="6" t="s">
        <v>31</v>
      </c>
      <c r="B5" s="6">
        <v>2021</v>
      </c>
      <c r="C5" s="6">
        <v>2021</v>
      </c>
      <c r="D5" s="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84A-3C50-2A48-B2AD-AFCD6F08F4C8}">
  <sheetPr>
    <outlinePr summaryBelow="0" summaryRight="0"/>
  </sheetPr>
  <dimension ref="A1:K49"/>
  <sheetViews>
    <sheetView zoomScale="127" workbookViewId="0">
      <selection activeCell="D15" sqref="D15"/>
    </sheetView>
  </sheetViews>
  <sheetFormatPr baseColWidth="10" defaultColWidth="12.6640625" defaultRowHeight="15.75" customHeight="1" x14ac:dyDescent="0.15"/>
  <cols>
    <col min="1" max="1" width="9.6640625" bestFit="1" customWidth="1"/>
    <col min="2" max="2" width="13.33203125" bestFit="1" customWidth="1"/>
    <col min="3" max="3" width="22.6640625" bestFit="1" customWidth="1"/>
    <col min="4" max="4" width="30.5" bestFit="1" customWidth="1"/>
    <col min="5" max="5" width="11.6640625" bestFit="1" customWidth="1"/>
    <col min="6" max="6" width="9.6640625" bestFit="1" customWidth="1"/>
    <col min="7" max="7" width="10.33203125" bestFit="1" customWidth="1"/>
    <col min="11" max="11" width="13.6640625" bestFit="1" customWidth="1"/>
  </cols>
  <sheetData>
    <row r="1" spans="1:11" s="18" customFormat="1" ht="16" x14ac:dyDescent="0.2">
      <c r="A1" s="7" t="s">
        <v>0</v>
      </c>
      <c r="B1" s="7" t="s">
        <v>32</v>
      </c>
      <c r="C1" s="7" t="s">
        <v>47</v>
      </c>
      <c r="D1" s="7" t="s">
        <v>48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49</v>
      </c>
    </row>
    <row r="2" spans="1:11" ht="15.75" customHeight="1" x14ac:dyDescent="0.15">
      <c r="A2" s="1">
        <v>1</v>
      </c>
      <c r="B2" s="1" t="s">
        <v>28</v>
      </c>
      <c r="C2" s="1" t="s">
        <v>8</v>
      </c>
      <c r="D2" s="1" t="s">
        <v>52</v>
      </c>
      <c r="E2" s="2">
        <v>4994</v>
      </c>
      <c r="F2" s="1">
        <v>627.62</v>
      </c>
      <c r="G2" s="1" t="s">
        <v>63</v>
      </c>
      <c r="H2" s="1"/>
      <c r="I2" s="1"/>
      <c r="J2" s="1"/>
      <c r="K2" s="1" t="s">
        <v>7</v>
      </c>
    </row>
    <row r="3" spans="1:11" ht="15.75" customHeight="1" x14ac:dyDescent="0.15">
      <c r="A3" s="1">
        <v>2</v>
      </c>
      <c r="B3" s="1" t="s">
        <v>28</v>
      </c>
      <c r="C3" s="3" t="s">
        <v>55</v>
      </c>
      <c r="D3" s="1" t="s">
        <v>56</v>
      </c>
      <c r="E3" s="1">
        <v>319</v>
      </c>
      <c r="F3" s="1">
        <v>168.82</v>
      </c>
      <c r="G3" s="1" t="s">
        <v>63</v>
      </c>
      <c r="H3" s="1"/>
      <c r="I3" s="1"/>
      <c r="J3" s="1"/>
      <c r="K3" s="1" t="s">
        <v>7</v>
      </c>
    </row>
    <row r="4" spans="1:11" ht="15.75" customHeight="1" x14ac:dyDescent="0.15">
      <c r="A4" s="1">
        <v>3</v>
      </c>
      <c r="B4" s="1" t="s">
        <v>28</v>
      </c>
      <c r="C4" s="3" t="s">
        <v>53</v>
      </c>
      <c r="D4" s="1" t="s">
        <v>54</v>
      </c>
      <c r="E4" s="2">
        <v>1814</v>
      </c>
      <c r="F4" s="1">
        <v>422.8</v>
      </c>
      <c r="G4" s="1" t="s">
        <v>63</v>
      </c>
      <c r="H4" s="1"/>
      <c r="I4" s="1"/>
      <c r="J4" s="1"/>
      <c r="K4" s="1" t="s">
        <v>7</v>
      </c>
    </row>
    <row r="5" spans="1:11" ht="15.75" customHeight="1" x14ac:dyDescent="0.15">
      <c r="A5" s="1">
        <v>4</v>
      </c>
      <c r="B5" s="1" t="s">
        <v>28</v>
      </c>
      <c r="C5" s="3" t="s">
        <v>57</v>
      </c>
      <c r="D5" s="1" t="s">
        <v>58</v>
      </c>
      <c r="E5" s="2">
        <v>1131</v>
      </c>
      <c r="F5" s="1">
        <v>302</v>
      </c>
      <c r="G5" s="1" t="s">
        <v>63</v>
      </c>
      <c r="H5" s="1"/>
      <c r="I5" s="1"/>
      <c r="J5" s="1"/>
      <c r="K5" s="1" t="s">
        <v>7</v>
      </c>
    </row>
    <row r="6" spans="1:11" ht="15.75" customHeight="1" x14ac:dyDescent="0.15">
      <c r="A6" s="1">
        <v>5</v>
      </c>
      <c r="B6" s="1" t="s">
        <v>28</v>
      </c>
      <c r="C6" s="3" t="s">
        <v>59</v>
      </c>
      <c r="D6" s="1" t="s">
        <v>60</v>
      </c>
      <c r="E6" s="2">
        <v>1230</v>
      </c>
      <c r="F6" s="1">
        <v>279.14</v>
      </c>
      <c r="G6" s="1" t="s">
        <v>63</v>
      </c>
      <c r="H6" s="1"/>
      <c r="I6" s="1"/>
      <c r="J6" s="1"/>
      <c r="K6" s="1" t="s">
        <v>7</v>
      </c>
    </row>
    <row r="7" spans="1:11" ht="15.75" customHeight="1" x14ac:dyDescent="0.15">
      <c r="A7" s="1">
        <v>6</v>
      </c>
      <c r="B7" s="1" t="s">
        <v>28</v>
      </c>
      <c r="C7" s="1" t="s">
        <v>61</v>
      </c>
      <c r="D7" s="1" t="s">
        <v>62</v>
      </c>
      <c r="E7" s="1">
        <v>168</v>
      </c>
      <c r="F7" s="1">
        <v>52.42</v>
      </c>
      <c r="G7" s="1" t="s">
        <v>63</v>
      </c>
      <c r="H7" s="1"/>
      <c r="I7" s="1"/>
      <c r="J7" s="1"/>
      <c r="K7" s="1" t="s">
        <v>7</v>
      </c>
    </row>
    <row r="8" spans="1:11" ht="15.75" customHeight="1" x14ac:dyDescent="0.15">
      <c r="A8" s="8">
        <v>7</v>
      </c>
      <c r="B8" s="8" t="s">
        <v>29</v>
      </c>
      <c r="C8" s="8" t="s">
        <v>8</v>
      </c>
      <c r="D8" s="8" t="s">
        <v>52</v>
      </c>
      <c r="E8" s="9">
        <v>2020</v>
      </c>
      <c r="F8" s="9">
        <v>1165.9000000000001</v>
      </c>
      <c r="G8" s="8" t="s">
        <v>63</v>
      </c>
      <c r="H8" s="8"/>
      <c r="I8" s="9"/>
      <c r="J8" s="9"/>
      <c r="K8" s="8" t="s">
        <v>7</v>
      </c>
    </row>
    <row r="9" spans="1:11" ht="15.75" customHeight="1" x14ac:dyDescent="0.15">
      <c r="A9" s="8">
        <v>8</v>
      </c>
      <c r="B9" s="8" t="s">
        <v>29</v>
      </c>
      <c r="C9" s="10" t="s">
        <v>55</v>
      </c>
      <c r="D9" s="8" t="s">
        <v>56</v>
      </c>
      <c r="E9" s="9">
        <v>0</v>
      </c>
      <c r="F9" s="9">
        <v>0</v>
      </c>
      <c r="G9" s="8" t="s">
        <v>63</v>
      </c>
      <c r="H9" s="8"/>
      <c r="I9" s="9"/>
      <c r="J9" s="9"/>
      <c r="K9" s="8" t="s">
        <v>7</v>
      </c>
    </row>
    <row r="10" spans="1:11" ht="15.75" customHeight="1" x14ac:dyDescent="0.15">
      <c r="A10" s="8">
        <v>9</v>
      </c>
      <c r="B10" s="8" t="s">
        <v>29</v>
      </c>
      <c r="C10" s="10" t="s">
        <v>53</v>
      </c>
      <c r="D10" s="8" t="s">
        <v>54</v>
      </c>
      <c r="E10" s="9">
        <v>0</v>
      </c>
      <c r="F10" s="9">
        <v>0</v>
      </c>
      <c r="G10" s="8" t="s">
        <v>63</v>
      </c>
      <c r="H10" s="8"/>
      <c r="I10" s="9"/>
      <c r="J10" s="9"/>
      <c r="K10" s="8" t="s">
        <v>7</v>
      </c>
    </row>
    <row r="11" spans="1:11" ht="15.75" customHeight="1" x14ac:dyDescent="0.15">
      <c r="A11" s="8">
        <v>10</v>
      </c>
      <c r="B11" s="8" t="s">
        <v>29</v>
      </c>
      <c r="C11" s="8" t="s">
        <v>57</v>
      </c>
      <c r="D11" s="8" t="s">
        <v>58</v>
      </c>
      <c r="E11" s="9">
        <v>0</v>
      </c>
      <c r="F11" s="9">
        <v>0</v>
      </c>
      <c r="G11" s="8" t="s">
        <v>63</v>
      </c>
      <c r="H11" s="8"/>
      <c r="I11" s="9"/>
      <c r="J11" s="9"/>
      <c r="K11" s="8" t="s">
        <v>7</v>
      </c>
    </row>
    <row r="12" spans="1:11" ht="15.75" customHeight="1" x14ac:dyDescent="0.15">
      <c r="A12" s="8">
        <v>11</v>
      </c>
      <c r="B12" s="8" t="s">
        <v>29</v>
      </c>
      <c r="C12" s="8" t="s">
        <v>59</v>
      </c>
      <c r="D12" s="8" t="s">
        <v>60</v>
      </c>
      <c r="E12" s="9">
        <v>650</v>
      </c>
      <c r="F12" s="9">
        <v>650.04999999999995</v>
      </c>
      <c r="G12" s="8" t="s">
        <v>63</v>
      </c>
      <c r="H12" s="8"/>
      <c r="I12" s="9"/>
      <c r="J12" s="9"/>
      <c r="K12" s="8" t="s">
        <v>7</v>
      </c>
    </row>
    <row r="13" spans="1:11" ht="15.75" customHeight="1" x14ac:dyDescent="0.15">
      <c r="A13" s="8">
        <v>12</v>
      </c>
      <c r="B13" s="8" t="s">
        <v>29</v>
      </c>
      <c r="C13" s="8" t="s">
        <v>61</v>
      </c>
      <c r="D13" s="8" t="s">
        <v>62</v>
      </c>
      <c r="E13" s="9">
        <v>0</v>
      </c>
      <c r="F13" s="9">
        <v>0</v>
      </c>
      <c r="G13" s="8" t="s">
        <v>63</v>
      </c>
      <c r="H13" s="8"/>
      <c r="I13" s="9"/>
      <c r="J13" s="9"/>
      <c r="K13" s="8" t="s">
        <v>7</v>
      </c>
    </row>
    <row r="14" spans="1:11" ht="15.75" customHeight="1" x14ac:dyDescent="0.15">
      <c r="A14" s="11">
        <v>13</v>
      </c>
      <c r="B14" s="11" t="s">
        <v>30</v>
      </c>
      <c r="C14" s="11" t="s">
        <v>8</v>
      </c>
      <c r="D14" s="11" t="s">
        <v>52</v>
      </c>
      <c r="E14" s="12">
        <v>0</v>
      </c>
      <c r="F14" s="12">
        <v>0</v>
      </c>
      <c r="G14" s="11" t="s">
        <v>63</v>
      </c>
      <c r="H14" s="11"/>
      <c r="I14" s="12"/>
      <c r="J14" s="12"/>
      <c r="K14" s="11" t="s">
        <v>7</v>
      </c>
    </row>
    <row r="15" spans="1:11" ht="15.75" customHeight="1" x14ac:dyDescent="0.15">
      <c r="A15" s="11">
        <v>14</v>
      </c>
      <c r="B15" s="11" t="s">
        <v>30</v>
      </c>
      <c r="C15" s="13" t="s">
        <v>55</v>
      </c>
      <c r="D15" s="11" t="s">
        <v>56</v>
      </c>
      <c r="E15" s="12">
        <v>0</v>
      </c>
      <c r="F15" s="12">
        <v>0</v>
      </c>
      <c r="G15" s="11" t="s">
        <v>63</v>
      </c>
      <c r="H15" s="11"/>
      <c r="I15" s="12"/>
      <c r="J15" s="12"/>
      <c r="K15" s="11" t="s">
        <v>7</v>
      </c>
    </row>
    <row r="16" spans="1:11" ht="15.75" customHeight="1" x14ac:dyDescent="0.15">
      <c r="A16" s="11">
        <v>15</v>
      </c>
      <c r="B16" s="11" t="s">
        <v>30</v>
      </c>
      <c r="C16" s="13" t="s">
        <v>53</v>
      </c>
      <c r="D16" s="11" t="s">
        <v>54</v>
      </c>
      <c r="E16" s="12">
        <v>1334</v>
      </c>
      <c r="F16" s="12">
        <v>1208.8</v>
      </c>
      <c r="G16" s="11" t="s">
        <v>63</v>
      </c>
      <c r="H16" s="11"/>
      <c r="I16" s="12"/>
      <c r="J16" s="12"/>
      <c r="K16" s="11" t="s">
        <v>7</v>
      </c>
    </row>
    <row r="17" spans="1:11" ht="15.75" customHeight="1" x14ac:dyDescent="0.15">
      <c r="A17" s="11">
        <v>16</v>
      </c>
      <c r="B17" s="11" t="s">
        <v>30</v>
      </c>
      <c r="C17" s="11" t="s">
        <v>57</v>
      </c>
      <c r="D17" s="11" t="s">
        <v>58</v>
      </c>
      <c r="E17" s="12">
        <v>672</v>
      </c>
      <c r="F17" s="12">
        <v>673.46</v>
      </c>
      <c r="G17" s="11" t="s">
        <v>63</v>
      </c>
      <c r="H17" s="11"/>
      <c r="I17" s="12"/>
      <c r="J17" s="12"/>
      <c r="K17" s="11" t="s">
        <v>7</v>
      </c>
    </row>
    <row r="18" spans="1:11" ht="15.75" customHeight="1" x14ac:dyDescent="0.15">
      <c r="A18" s="11">
        <v>17</v>
      </c>
      <c r="B18" s="11" t="s">
        <v>30</v>
      </c>
      <c r="C18" s="11" t="s">
        <v>59</v>
      </c>
      <c r="D18" s="11" t="s">
        <v>60</v>
      </c>
      <c r="E18" s="12">
        <v>0</v>
      </c>
      <c r="F18" s="12">
        <v>0</v>
      </c>
      <c r="G18" s="11" t="s">
        <v>63</v>
      </c>
      <c r="H18" s="11"/>
      <c r="I18" s="12"/>
      <c r="J18" s="12"/>
      <c r="K18" s="11" t="s">
        <v>7</v>
      </c>
    </row>
    <row r="19" spans="1:11" ht="15.75" customHeight="1" x14ac:dyDescent="0.15">
      <c r="A19" s="11">
        <v>18</v>
      </c>
      <c r="B19" s="11" t="s">
        <v>30</v>
      </c>
      <c r="C19" s="11" t="s">
        <v>61</v>
      </c>
      <c r="D19" s="11" t="s">
        <v>62</v>
      </c>
      <c r="E19" s="12">
        <v>0</v>
      </c>
      <c r="F19" s="12">
        <v>0</v>
      </c>
      <c r="G19" s="11" t="s">
        <v>63</v>
      </c>
      <c r="H19" s="11"/>
      <c r="I19" s="12"/>
      <c r="J19" s="12"/>
      <c r="K19" s="11" t="s">
        <v>7</v>
      </c>
    </row>
    <row r="20" spans="1:11" ht="15.75" customHeight="1" x14ac:dyDescent="0.15">
      <c r="A20" s="8">
        <v>19</v>
      </c>
      <c r="B20" s="8" t="s">
        <v>31</v>
      </c>
      <c r="C20" s="8" t="s">
        <v>8</v>
      </c>
      <c r="D20" s="8" t="s">
        <v>52</v>
      </c>
      <c r="E20" s="9">
        <v>670</v>
      </c>
      <c r="F20" s="9">
        <v>669.54</v>
      </c>
      <c r="G20" s="8" t="s">
        <v>63</v>
      </c>
      <c r="H20" s="8"/>
      <c r="I20" s="9"/>
      <c r="J20" s="9"/>
      <c r="K20" s="8" t="s">
        <v>7</v>
      </c>
    </row>
    <row r="21" spans="1:11" ht="15.75" customHeight="1" x14ac:dyDescent="0.15">
      <c r="A21" s="8">
        <v>20</v>
      </c>
      <c r="B21" s="8" t="s">
        <v>31</v>
      </c>
      <c r="C21" s="10" t="s">
        <v>55</v>
      </c>
      <c r="D21" s="8" t="s">
        <v>56</v>
      </c>
      <c r="E21" s="9">
        <v>0</v>
      </c>
      <c r="F21" s="9">
        <v>0</v>
      </c>
      <c r="G21" s="8" t="s">
        <v>63</v>
      </c>
      <c r="H21" s="8"/>
      <c r="I21" s="9"/>
      <c r="J21" s="9"/>
      <c r="K21" s="8" t="s">
        <v>7</v>
      </c>
    </row>
    <row r="22" spans="1:11" ht="15.75" customHeight="1" x14ac:dyDescent="0.15">
      <c r="A22" s="8">
        <v>21</v>
      </c>
      <c r="B22" s="8" t="s">
        <v>31</v>
      </c>
      <c r="C22" s="10" t="s">
        <v>53</v>
      </c>
      <c r="D22" s="8" t="s">
        <v>54</v>
      </c>
      <c r="E22" s="9">
        <v>0</v>
      </c>
      <c r="F22" s="9">
        <v>0</v>
      </c>
      <c r="G22" s="8" t="s">
        <v>63</v>
      </c>
      <c r="H22" s="8"/>
      <c r="I22" s="9"/>
      <c r="J22" s="9"/>
      <c r="K22" s="8" t="s">
        <v>7</v>
      </c>
    </row>
    <row r="23" spans="1:11" ht="15.75" customHeight="1" x14ac:dyDescent="0.15">
      <c r="A23" s="8">
        <v>22</v>
      </c>
      <c r="B23" s="8" t="s">
        <v>31</v>
      </c>
      <c r="C23" s="8" t="s">
        <v>57</v>
      </c>
      <c r="D23" s="8" t="s">
        <v>58</v>
      </c>
      <c r="E23" s="9">
        <v>672</v>
      </c>
      <c r="F23" s="9">
        <v>673.46</v>
      </c>
      <c r="G23" s="8" t="s">
        <v>63</v>
      </c>
      <c r="H23" s="8"/>
      <c r="I23" s="9"/>
      <c r="J23" s="9"/>
      <c r="K23" s="8" t="s">
        <v>7</v>
      </c>
    </row>
    <row r="24" spans="1:11" ht="15.75" customHeight="1" x14ac:dyDescent="0.15">
      <c r="A24" s="8">
        <v>23</v>
      </c>
      <c r="B24" s="8" t="s">
        <v>31</v>
      </c>
      <c r="C24" s="8" t="s">
        <v>59</v>
      </c>
      <c r="D24" s="8" t="s">
        <v>60</v>
      </c>
      <c r="E24" s="9">
        <v>3248</v>
      </c>
      <c r="F24" s="9">
        <v>1315.97</v>
      </c>
      <c r="G24" s="8" t="s">
        <v>63</v>
      </c>
      <c r="H24" s="8"/>
      <c r="I24" s="9"/>
      <c r="J24" s="9"/>
      <c r="K24" s="8" t="s">
        <v>7</v>
      </c>
    </row>
    <row r="25" spans="1:11" ht="15.75" customHeight="1" x14ac:dyDescent="0.15">
      <c r="A25" s="8">
        <v>24</v>
      </c>
      <c r="B25" s="8" t="s">
        <v>31</v>
      </c>
      <c r="C25" s="8" t="s">
        <v>61</v>
      </c>
      <c r="D25" s="8" t="s">
        <v>62</v>
      </c>
      <c r="E25" s="9">
        <v>167</v>
      </c>
      <c r="F25" s="9">
        <v>151.33000000000001</v>
      </c>
      <c r="G25" s="8" t="s">
        <v>63</v>
      </c>
      <c r="H25" s="8"/>
      <c r="I25" s="9"/>
      <c r="J25" s="9"/>
      <c r="K25" s="8" t="s">
        <v>7</v>
      </c>
    </row>
    <row r="26" spans="1:11" ht="15.75" customHeight="1" x14ac:dyDescent="0.15">
      <c r="A26" s="11">
        <v>25</v>
      </c>
      <c r="B26" s="14" t="s">
        <v>28</v>
      </c>
      <c r="C26" s="14" t="s">
        <v>8</v>
      </c>
      <c r="D26" s="14" t="s">
        <v>64</v>
      </c>
      <c r="E26" s="14">
        <v>459</v>
      </c>
      <c r="F26" s="14">
        <v>196.56</v>
      </c>
      <c r="G26" s="14" t="s">
        <v>63</v>
      </c>
      <c r="H26" s="14"/>
      <c r="I26" s="14"/>
      <c r="J26" s="14"/>
      <c r="K26" s="14" t="s">
        <v>9</v>
      </c>
    </row>
    <row r="27" spans="1:11" ht="15.75" customHeight="1" x14ac:dyDescent="0.15">
      <c r="A27" s="11">
        <v>26</v>
      </c>
      <c r="B27" s="14" t="s">
        <v>28</v>
      </c>
      <c r="C27" s="14" t="s">
        <v>55</v>
      </c>
      <c r="D27" s="14" t="s">
        <v>65</v>
      </c>
      <c r="E27" s="14">
        <v>319</v>
      </c>
      <c r="F27" s="14">
        <v>152.74</v>
      </c>
      <c r="G27" s="14" t="s">
        <v>63</v>
      </c>
      <c r="H27" s="14"/>
      <c r="I27" s="14"/>
      <c r="J27" s="14"/>
      <c r="K27" s="14" t="s">
        <v>9</v>
      </c>
    </row>
    <row r="28" spans="1:11" ht="15.75" customHeight="1" x14ac:dyDescent="0.15">
      <c r="A28" s="11">
        <v>27</v>
      </c>
      <c r="B28" s="14" t="s">
        <v>28</v>
      </c>
      <c r="C28" s="14" t="s">
        <v>53</v>
      </c>
      <c r="D28" s="14" t="s">
        <v>66</v>
      </c>
      <c r="E28" s="15">
        <v>1210</v>
      </c>
      <c r="F28" s="14">
        <v>328.47</v>
      </c>
      <c r="G28" s="14" t="s">
        <v>63</v>
      </c>
      <c r="H28" s="14"/>
      <c r="I28" s="14"/>
      <c r="J28" s="14"/>
      <c r="K28" s="14" t="s">
        <v>9</v>
      </c>
    </row>
    <row r="29" spans="1:11" ht="15.75" customHeight="1" x14ac:dyDescent="0.15">
      <c r="A29" s="11">
        <v>28</v>
      </c>
      <c r="B29" s="14" t="s">
        <v>28</v>
      </c>
      <c r="C29" s="14" t="s">
        <v>57</v>
      </c>
      <c r="D29" s="14" t="s">
        <v>67</v>
      </c>
      <c r="E29" s="15">
        <v>1333</v>
      </c>
      <c r="F29" s="14">
        <v>323.37</v>
      </c>
      <c r="G29" s="14" t="s">
        <v>63</v>
      </c>
      <c r="H29" s="14"/>
      <c r="I29" s="14"/>
      <c r="J29" s="14"/>
      <c r="K29" s="14" t="s">
        <v>9</v>
      </c>
    </row>
    <row r="30" spans="1:11" ht="15.75" customHeight="1" x14ac:dyDescent="0.15">
      <c r="A30" s="11">
        <v>29</v>
      </c>
      <c r="B30" s="14" t="s">
        <v>28</v>
      </c>
      <c r="C30" s="14" t="s">
        <v>59</v>
      </c>
      <c r="D30" s="14" t="s">
        <v>68</v>
      </c>
      <c r="E30" s="15">
        <v>1358</v>
      </c>
      <c r="F30" s="14">
        <v>333.56</v>
      </c>
      <c r="G30" s="14" t="s">
        <v>63</v>
      </c>
      <c r="H30" s="14"/>
      <c r="I30" s="14"/>
      <c r="J30" s="14"/>
      <c r="K30" s="14" t="s">
        <v>9</v>
      </c>
    </row>
    <row r="31" spans="1:11" ht="15.75" customHeight="1" x14ac:dyDescent="0.15">
      <c r="A31" s="11">
        <v>30</v>
      </c>
      <c r="B31" s="14" t="s">
        <v>28</v>
      </c>
      <c r="C31" s="14" t="s">
        <v>61</v>
      </c>
      <c r="D31" s="14" t="s">
        <v>69</v>
      </c>
      <c r="E31" s="14">
        <v>84</v>
      </c>
      <c r="F31" s="14">
        <v>33.75</v>
      </c>
      <c r="G31" s="14" t="s">
        <v>63</v>
      </c>
      <c r="H31" s="14"/>
      <c r="I31" s="14"/>
      <c r="J31" s="14"/>
      <c r="K31" s="14" t="s">
        <v>9</v>
      </c>
    </row>
    <row r="32" spans="1:11" ht="15.75" customHeight="1" x14ac:dyDescent="0.15">
      <c r="A32" s="8">
        <v>31</v>
      </c>
      <c r="B32" s="16" t="s">
        <v>29</v>
      </c>
      <c r="C32" s="16" t="s">
        <v>8</v>
      </c>
      <c r="D32" s="16" t="s">
        <v>64</v>
      </c>
      <c r="E32" s="9">
        <v>0</v>
      </c>
      <c r="F32" s="9">
        <v>0</v>
      </c>
      <c r="G32" s="8" t="s">
        <v>63</v>
      </c>
      <c r="H32" s="8"/>
      <c r="I32" s="9"/>
      <c r="J32" s="9"/>
      <c r="K32" s="16" t="s">
        <v>9</v>
      </c>
    </row>
    <row r="33" spans="1:11" ht="15.75" customHeight="1" x14ac:dyDescent="0.15">
      <c r="A33" s="8">
        <v>32</v>
      </c>
      <c r="B33" s="16" t="s">
        <v>29</v>
      </c>
      <c r="C33" s="16" t="s">
        <v>55</v>
      </c>
      <c r="D33" s="16" t="s">
        <v>65</v>
      </c>
      <c r="E33" s="9">
        <v>638</v>
      </c>
      <c r="F33" s="9">
        <v>576.80999999999995</v>
      </c>
      <c r="G33" s="8" t="s">
        <v>63</v>
      </c>
      <c r="H33" s="8"/>
      <c r="I33" s="9"/>
      <c r="J33" s="9"/>
      <c r="K33" s="16" t="s">
        <v>9</v>
      </c>
    </row>
    <row r="34" spans="1:11" ht="15.75" customHeight="1" x14ac:dyDescent="0.15">
      <c r="A34" s="8">
        <v>33</v>
      </c>
      <c r="B34" s="16" t="s">
        <v>29</v>
      </c>
      <c r="C34" s="16" t="s">
        <v>53</v>
      </c>
      <c r="D34" s="16" t="s">
        <v>66</v>
      </c>
      <c r="E34" s="9">
        <v>1346</v>
      </c>
      <c r="F34" s="9">
        <v>951.32</v>
      </c>
      <c r="G34" s="8" t="s">
        <v>63</v>
      </c>
      <c r="H34" s="8"/>
      <c r="I34" s="9"/>
      <c r="J34" s="9"/>
      <c r="K34" s="16" t="s">
        <v>9</v>
      </c>
    </row>
    <row r="35" spans="1:11" ht="15.75" customHeight="1" x14ac:dyDescent="0.15">
      <c r="A35" s="8">
        <v>34</v>
      </c>
      <c r="B35" s="16" t="s">
        <v>29</v>
      </c>
      <c r="C35" s="16" t="s">
        <v>57</v>
      </c>
      <c r="D35" s="16" t="s">
        <v>67</v>
      </c>
      <c r="E35" s="9">
        <v>4647</v>
      </c>
      <c r="F35" s="9">
        <v>1974.79</v>
      </c>
      <c r="G35" s="8" t="s">
        <v>63</v>
      </c>
      <c r="H35" s="8"/>
      <c r="I35" s="9"/>
      <c r="J35" s="9"/>
      <c r="K35" s="16" t="s">
        <v>9</v>
      </c>
    </row>
    <row r="36" spans="1:11" ht="15.75" customHeight="1" x14ac:dyDescent="0.15">
      <c r="A36" s="8">
        <v>35</v>
      </c>
      <c r="B36" s="16" t="s">
        <v>29</v>
      </c>
      <c r="C36" s="16" t="s">
        <v>59</v>
      </c>
      <c r="D36" s="16" t="s">
        <v>68</v>
      </c>
      <c r="E36" s="9">
        <v>3250</v>
      </c>
      <c r="F36" s="9">
        <v>1451.69</v>
      </c>
      <c r="G36" s="8" t="s">
        <v>63</v>
      </c>
      <c r="H36" s="8"/>
      <c r="I36" s="9"/>
      <c r="J36" s="9"/>
      <c r="K36" s="16" t="s">
        <v>9</v>
      </c>
    </row>
    <row r="37" spans="1:11" ht="15.75" customHeight="1" x14ac:dyDescent="0.15">
      <c r="A37" s="8">
        <v>36</v>
      </c>
      <c r="B37" s="16" t="s">
        <v>29</v>
      </c>
      <c r="C37" s="16" t="s">
        <v>61</v>
      </c>
      <c r="D37" s="16" t="s">
        <v>69</v>
      </c>
      <c r="E37" s="9">
        <v>0</v>
      </c>
      <c r="F37" s="9">
        <v>0</v>
      </c>
      <c r="G37" s="8" t="s">
        <v>63</v>
      </c>
      <c r="H37" s="8"/>
      <c r="I37" s="9"/>
      <c r="J37" s="9"/>
      <c r="K37" s="16" t="s">
        <v>9</v>
      </c>
    </row>
    <row r="38" spans="1:11" ht="15.75" customHeight="1" x14ac:dyDescent="0.15">
      <c r="A38" s="11">
        <v>37</v>
      </c>
      <c r="B38" s="14" t="s">
        <v>30</v>
      </c>
      <c r="C38" s="14" t="s">
        <v>8</v>
      </c>
      <c r="D38" s="14" t="s">
        <v>64</v>
      </c>
      <c r="E38" s="12">
        <v>0</v>
      </c>
      <c r="F38" s="12">
        <v>0</v>
      </c>
      <c r="G38" s="14" t="s">
        <v>63</v>
      </c>
      <c r="H38" s="14"/>
      <c r="I38" s="12"/>
      <c r="J38" s="12"/>
      <c r="K38" s="14" t="s">
        <v>9</v>
      </c>
    </row>
    <row r="39" spans="1:11" ht="15.75" customHeight="1" x14ac:dyDescent="0.15">
      <c r="A39" s="11">
        <v>38</v>
      </c>
      <c r="B39" s="14" t="s">
        <v>30</v>
      </c>
      <c r="C39" s="14" t="s">
        <v>55</v>
      </c>
      <c r="D39" s="14" t="s">
        <v>65</v>
      </c>
      <c r="E39" s="12">
        <v>0</v>
      </c>
      <c r="F39" s="12">
        <v>0</v>
      </c>
      <c r="G39" s="14" t="s">
        <v>63</v>
      </c>
      <c r="H39" s="14"/>
      <c r="I39" s="12"/>
      <c r="J39" s="12"/>
      <c r="K39" s="14" t="s">
        <v>9</v>
      </c>
    </row>
    <row r="40" spans="1:11" ht="15.75" customHeight="1" x14ac:dyDescent="0.15">
      <c r="A40" s="11">
        <v>39</v>
      </c>
      <c r="B40" s="14" t="s">
        <v>30</v>
      </c>
      <c r="C40" s="14" t="s">
        <v>53</v>
      </c>
      <c r="D40" s="14" t="s">
        <v>66</v>
      </c>
      <c r="E40" s="12">
        <v>670</v>
      </c>
      <c r="F40" s="12">
        <v>669.54</v>
      </c>
      <c r="G40" s="14" t="s">
        <v>63</v>
      </c>
      <c r="H40" s="14"/>
      <c r="I40" s="12"/>
      <c r="J40" s="12"/>
      <c r="K40" s="14" t="s">
        <v>9</v>
      </c>
    </row>
    <row r="41" spans="1:11" ht="15.75" customHeight="1" x14ac:dyDescent="0.15">
      <c r="A41" s="11">
        <v>40</v>
      </c>
      <c r="B41" s="14" t="s">
        <v>30</v>
      </c>
      <c r="C41" s="14" t="s">
        <v>57</v>
      </c>
      <c r="D41" s="14" t="s">
        <v>67</v>
      </c>
      <c r="E41" s="12">
        <v>1344</v>
      </c>
      <c r="F41" s="12">
        <v>861.42</v>
      </c>
      <c r="G41" s="14" t="s">
        <v>63</v>
      </c>
      <c r="H41" s="14"/>
      <c r="I41" s="12"/>
      <c r="J41" s="12"/>
      <c r="K41" s="14" t="s">
        <v>9</v>
      </c>
    </row>
    <row r="42" spans="1:11" ht="15.75" customHeight="1" x14ac:dyDescent="0.15">
      <c r="A42" s="11">
        <v>41</v>
      </c>
      <c r="B42" s="14" t="s">
        <v>30</v>
      </c>
      <c r="C42" s="14" t="s">
        <v>59</v>
      </c>
      <c r="D42" s="14" t="s">
        <v>68</v>
      </c>
      <c r="E42" s="12">
        <v>650</v>
      </c>
      <c r="F42" s="12">
        <v>589.28</v>
      </c>
      <c r="G42" s="14" t="s">
        <v>63</v>
      </c>
      <c r="H42" s="14"/>
      <c r="I42" s="12"/>
      <c r="J42" s="12"/>
      <c r="K42" s="14" t="s">
        <v>9</v>
      </c>
    </row>
    <row r="43" spans="1:11" ht="15.75" customHeight="1" x14ac:dyDescent="0.15">
      <c r="A43" s="11">
        <v>42</v>
      </c>
      <c r="B43" s="14" t="s">
        <v>30</v>
      </c>
      <c r="C43" s="14" t="s">
        <v>61</v>
      </c>
      <c r="D43" s="14" t="s">
        <v>69</v>
      </c>
      <c r="E43" s="12">
        <v>0</v>
      </c>
      <c r="F43" s="12">
        <v>0</v>
      </c>
      <c r="G43" s="14" t="s">
        <v>63</v>
      </c>
      <c r="H43" s="14"/>
      <c r="I43" s="12"/>
      <c r="J43" s="12"/>
      <c r="K43" s="14" t="s">
        <v>9</v>
      </c>
    </row>
    <row r="44" spans="1:11" ht="15.75" customHeight="1" x14ac:dyDescent="0.15">
      <c r="A44" s="8">
        <v>43</v>
      </c>
      <c r="B44" s="16" t="s">
        <v>31</v>
      </c>
      <c r="C44" s="16" t="s">
        <v>8</v>
      </c>
      <c r="D44" s="16" t="s">
        <v>64</v>
      </c>
      <c r="E44" s="9">
        <v>1344</v>
      </c>
      <c r="F44" s="9">
        <v>861.42</v>
      </c>
      <c r="G44" s="8" t="s">
        <v>63</v>
      </c>
      <c r="H44" s="8"/>
      <c r="I44" s="9"/>
      <c r="J44" s="9"/>
      <c r="K44" s="16" t="s">
        <v>9</v>
      </c>
    </row>
    <row r="45" spans="1:11" ht="15.75" customHeight="1" x14ac:dyDescent="0.15">
      <c r="A45" s="8">
        <v>44</v>
      </c>
      <c r="B45" s="16" t="s">
        <v>31</v>
      </c>
      <c r="C45" s="16" t="s">
        <v>55</v>
      </c>
      <c r="D45" s="16" t="s">
        <v>65</v>
      </c>
      <c r="E45" s="9">
        <v>637</v>
      </c>
      <c r="F45" s="9">
        <v>636.67999999999995</v>
      </c>
      <c r="G45" s="8" t="s">
        <v>63</v>
      </c>
      <c r="H45" s="8"/>
      <c r="I45" s="9"/>
      <c r="J45" s="9"/>
      <c r="K45" s="16" t="s">
        <v>9</v>
      </c>
    </row>
    <row r="46" spans="1:11" ht="15.75" customHeight="1" x14ac:dyDescent="0.15">
      <c r="A46" s="8">
        <v>45</v>
      </c>
      <c r="B46" s="16" t="s">
        <v>31</v>
      </c>
      <c r="C46" s="16" t="s">
        <v>53</v>
      </c>
      <c r="D46" s="16" t="s">
        <v>66</v>
      </c>
      <c r="E46" s="9">
        <v>670</v>
      </c>
      <c r="F46" s="9">
        <v>669.54</v>
      </c>
      <c r="G46" s="8" t="s">
        <v>63</v>
      </c>
      <c r="H46" s="8"/>
      <c r="I46" s="9"/>
      <c r="J46" s="9"/>
      <c r="K46" s="16" t="s">
        <v>9</v>
      </c>
    </row>
    <row r="47" spans="1:11" ht="15.75" customHeight="1" x14ac:dyDescent="0.15">
      <c r="A47" s="8">
        <v>46</v>
      </c>
      <c r="B47" s="16" t="s">
        <v>31</v>
      </c>
      <c r="C47" s="16" t="s">
        <v>57</v>
      </c>
      <c r="D47" s="16" t="s">
        <v>67</v>
      </c>
      <c r="E47" s="9">
        <v>2616</v>
      </c>
      <c r="F47" s="9">
        <v>1437.12</v>
      </c>
      <c r="G47" s="8" t="s">
        <v>63</v>
      </c>
      <c r="H47" s="8"/>
      <c r="I47" s="9"/>
      <c r="J47" s="9"/>
      <c r="K47" s="16" t="s">
        <v>9</v>
      </c>
    </row>
    <row r="48" spans="1:11" ht="15.75" customHeight="1" x14ac:dyDescent="0.15">
      <c r="A48" s="8">
        <v>47</v>
      </c>
      <c r="B48" s="16" t="s">
        <v>31</v>
      </c>
      <c r="C48" s="16" t="s">
        <v>59</v>
      </c>
      <c r="D48" s="16" t="s">
        <v>68</v>
      </c>
      <c r="E48" s="9">
        <v>3872</v>
      </c>
      <c r="F48" s="9">
        <v>1649.04</v>
      </c>
      <c r="G48" s="8" t="s">
        <v>63</v>
      </c>
      <c r="H48" s="8"/>
      <c r="I48" s="9"/>
      <c r="J48" s="9"/>
      <c r="K48" s="16" t="s">
        <v>9</v>
      </c>
    </row>
    <row r="49" spans="1:11" ht="15.75" customHeight="1" x14ac:dyDescent="0.15">
      <c r="A49" s="8">
        <v>48</v>
      </c>
      <c r="B49" s="16" t="s">
        <v>31</v>
      </c>
      <c r="C49" s="16" t="s">
        <v>61</v>
      </c>
      <c r="D49" s="16" t="s">
        <v>69</v>
      </c>
      <c r="E49" s="9">
        <v>335</v>
      </c>
      <c r="F49" s="9">
        <v>236.23</v>
      </c>
      <c r="G49" s="8" t="s">
        <v>63</v>
      </c>
      <c r="H49" s="8"/>
      <c r="I49" s="9"/>
      <c r="J49" s="9"/>
      <c r="K49" s="1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2F9E-AC0E-614F-ACB5-63E242DFE6FF}">
  <sheetPr>
    <outlinePr summaryBelow="0" summaryRight="0"/>
  </sheetPr>
  <dimension ref="A1:J37"/>
  <sheetViews>
    <sheetView tabSelected="1" zoomScale="109" workbookViewId="0">
      <selection activeCell="D28" sqref="D28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15.33203125" customWidth="1"/>
    <col min="3" max="3" width="24.83203125" bestFit="1" customWidth="1"/>
    <col min="4" max="4" width="35.33203125" bestFit="1" customWidth="1"/>
    <col min="5" max="5" width="8.6640625" bestFit="1" customWidth="1"/>
    <col min="6" max="6" width="6.1640625" bestFit="1" customWidth="1"/>
    <col min="7" max="7" width="6.5" bestFit="1" customWidth="1"/>
    <col min="8" max="10" width="8.83203125" bestFit="1" customWidth="1"/>
  </cols>
  <sheetData>
    <row r="1" spans="1:10" ht="15.75" customHeight="1" x14ac:dyDescent="0.2">
      <c r="A1" s="19" t="s">
        <v>10</v>
      </c>
      <c r="B1" s="19" t="s">
        <v>44</v>
      </c>
      <c r="C1" s="19" t="s">
        <v>46</v>
      </c>
      <c r="D1" s="19" t="s">
        <v>51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</row>
    <row r="2" spans="1:10" ht="15.75" customHeight="1" x14ac:dyDescent="0.15">
      <c r="A2" s="4">
        <v>1</v>
      </c>
      <c r="B2" s="4" t="s">
        <v>23</v>
      </c>
      <c r="C2" s="4" t="s">
        <v>18</v>
      </c>
      <c r="D2" s="4" t="s">
        <v>8</v>
      </c>
      <c r="E2" s="4">
        <v>28.72</v>
      </c>
      <c r="F2" s="4">
        <v>5.62</v>
      </c>
      <c r="G2" s="4" t="s">
        <v>63</v>
      </c>
      <c r="H2" s="4"/>
      <c r="I2" s="4"/>
      <c r="J2" s="4"/>
    </row>
    <row r="3" spans="1:10" ht="15.75" customHeight="1" x14ac:dyDescent="0.15">
      <c r="A3" s="4">
        <v>2</v>
      </c>
      <c r="B3" s="4" t="s">
        <v>23</v>
      </c>
      <c r="C3" s="4" t="s">
        <v>18</v>
      </c>
      <c r="D3" s="4" t="s">
        <v>55</v>
      </c>
      <c r="E3" s="4">
        <v>85.34</v>
      </c>
      <c r="F3" s="4">
        <v>45.6</v>
      </c>
      <c r="G3" s="4" t="s">
        <v>63</v>
      </c>
      <c r="H3" s="4"/>
      <c r="I3" s="4"/>
      <c r="J3" s="4"/>
    </row>
    <row r="4" spans="1:10" ht="15.75" customHeight="1" x14ac:dyDescent="0.15">
      <c r="A4" s="4">
        <v>3</v>
      </c>
      <c r="B4" s="4" t="s">
        <v>23</v>
      </c>
      <c r="C4" s="4" t="s">
        <v>18</v>
      </c>
      <c r="D4" s="4" t="s">
        <v>53</v>
      </c>
      <c r="E4" s="4">
        <v>212.99</v>
      </c>
      <c r="F4" s="4">
        <v>43.58</v>
      </c>
      <c r="G4" s="4" t="s">
        <v>63</v>
      </c>
      <c r="H4" s="4"/>
      <c r="I4" s="4"/>
      <c r="J4" s="4"/>
    </row>
    <row r="5" spans="1:10" ht="15.75" customHeight="1" x14ac:dyDescent="0.15">
      <c r="A5" s="4">
        <v>4</v>
      </c>
      <c r="B5" s="4" t="s">
        <v>23</v>
      </c>
      <c r="C5" s="4" t="s">
        <v>18</v>
      </c>
      <c r="D5" s="4" t="s">
        <v>57</v>
      </c>
      <c r="E5" s="4">
        <v>105.48</v>
      </c>
      <c r="F5" s="4">
        <v>37.049999999999997</v>
      </c>
      <c r="G5" s="4" t="s">
        <v>63</v>
      </c>
      <c r="H5" s="4"/>
      <c r="I5" s="4"/>
      <c r="J5" s="4"/>
    </row>
    <row r="6" spans="1:10" ht="15.75" customHeight="1" x14ac:dyDescent="0.15">
      <c r="A6" s="4">
        <v>5</v>
      </c>
      <c r="B6" s="4" t="s">
        <v>23</v>
      </c>
      <c r="C6" s="4" t="s">
        <v>18</v>
      </c>
      <c r="D6" s="4" t="s">
        <v>59</v>
      </c>
      <c r="E6" s="4">
        <v>79.709999999999994</v>
      </c>
      <c r="F6" s="4">
        <v>11.55</v>
      </c>
      <c r="G6" s="4" t="s">
        <v>63</v>
      </c>
      <c r="H6" s="4"/>
      <c r="I6" s="4"/>
      <c r="J6" s="4"/>
    </row>
    <row r="7" spans="1:10" ht="15.75" customHeight="1" x14ac:dyDescent="0.15">
      <c r="A7" s="4">
        <v>6</v>
      </c>
      <c r="B7" s="4" t="s">
        <v>23</v>
      </c>
      <c r="C7" s="4" t="s">
        <v>18</v>
      </c>
      <c r="D7" s="4" t="s">
        <v>61</v>
      </c>
      <c r="E7" s="4">
        <v>78.33</v>
      </c>
      <c r="F7" s="4">
        <v>14.56</v>
      </c>
      <c r="G7" s="4" t="s">
        <v>63</v>
      </c>
      <c r="H7" s="4"/>
      <c r="I7" s="4"/>
      <c r="J7" s="4"/>
    </row>
    <row r="8" spans="1:10" ht="15.75" customHeight="1" x14ac:dyDescent="0.15">
      <c r="A8" s="5">
        <v>7</v>
      </c>
      <c r="B8" s="5" t="s">
        <v>23</v>
      </c>
      <c r="C8" s="5" t="s">
        <v>20</v>
      </c>
      <c r="D8" s="5" t="s">
        <v>8</v>
      </c>
      <c r="E8" s="5">
        <v>10.89</v>
      </c>
      <c r="F8" s="5">
        <v>1.94</v>
      </c>
      <c r="G8" s="5" t="s">
        <v>63</v>
      </c>
      <c r="H8" s="5"/>
      <c r="I8" s="5"/>
      <c r="J8" s="5"/>
    </row>
    <row r="9" spans="1:10" ht="15.75" customHeight="1" x14ac:dyDescent="0.15">
      <c r="A9" s="5">
        <v>8</v>
      </c>
      <c r="B9" s="5" t="s">
        <v>23</v>
      </c>
      <c r="C9" s="5" t="s">
        <v>20</v>
      </c>
      <c r="D9" s="5" t="s">
        <v>55</v>
      </c>
      <c r="E9" s="5">
        <v>11.03</v>
      </c>
      <c r="F9" s="5">
        <v>5.24</v>
      </c>
      <c r="G9" s="5" t="s">
        <v>63</v>
      </c>
      <c r="H9" s="5"/>
      <c r="I9" s="5"/>
      <c r="J9" s="5"/>
    </row>
    <row r="10" spans="1:10" ht="15.75" customHeight="1" x14ac:dyDescent="0.15">
      <c r="A10" s="5">
        <v>9</v>
      </c>
      <c r="B10" s="5" t="s">
        <v>23</v>
      </c>
      <c r="C10" s="5" t="s">
        <v>20</v>
      </c>
      <c r="D10" s="5" t="s">
        <v>53</v>
      </c>
      <c r="E10" s="5">
        <v>28.12</v>
      </c>
      <c r="F10" s="5">
        <v>5.84</v>
      </c>
      <c r="G10" s="5" t="s">
        <v>63</v>
      </c>
      <c r="H10" s="5"/>
      <c r="I10" s="5"/>
      <c r="J10" s="5"/>
    </row>
    <row r="11" spans="1:10" ht="15.75" customHeight="1" x14ac:dyDescent="0.15">
      <c r="A11" s="5">
        <v>10</v>
      </c>
      <c r="B11" s="5" t="s">
        <v>23</v>
      </c>
      <c r="C11" s="5" t="s">
        <v>20</v>
      </c>
      <c r="D11" s="5" t="s">
        <v>57</v>
      </c>
      <c r="E11" s="5">
        <v>27.14</v>
      </c>
      <c r="F11" s="5">
        <v>3.8</v>
      </c>
      <c r="G11" s="5" t="s">
        <v>63</v>
      </c>
      <c r="H11" s="5"/>
      <c r="I11" s="5"/>
      <c r="J11" s="5"/>
    </row>
    <row r="12" spans="1:10" ht="15.75" customHeight="1" x14ac:dyDescent="0.15">
      <c r="A12" s="5">
        <v>11</v>
      </c>
      <c r="B12" s="5" t="s">
        <v>23</v>
      </c>
      <c r="C12" s="5" t="s">
        <v>20</v>
      </c>
      <c r="D12" s="5" t="s">
        <v>59</v>
      </c>
      <c r="E12" s="5">
        <v>19.940000000000001</v>
      </c>
      <c r="F12" s="5">
        <v>2.2400000000000002</v>
      </c>
      <c r="G12" s="5" t="s">
        <v>63</v>
      </c>
      <c r="H12" s="5"/>
      <c r="I12" s="5"/>
      <c r="J12" s="5"/>
    </row>
    <row r="13" spans="1:10" ht="15.75" customHeight="1" x14ac:dyDescent="0.15">
      <c r="A13" s="5">
        <v>12</v>
      </c>
      <c r="B13" s="5" t="s">
        <v>23</v>
      </c>
      <c r="C13" s="5" t="s">
        <v>20</v>
      </c>
      <c r="D13" s="5" t="s">
        <v>61</v>
      </c>
      <c r="E13" s="5">
        <v>25.29</v>
      </c>
      <c r="F13" s="5">
        <v>2.4700000000000002</v>
      </c>
      <c r="G13" s="5" t="s">
        <v>63</v>
      </c>
      <c r="H13" s="5"/>
      <c r="I13" s="5"/>
      <c r="J13" s="5"/>
    </row>
    <row r="14" spans="1:10" ht="15.75" customHeight="1" x14ac:dyDescent="0.15">
      <c r="A14" s="4">
        <v>13</v>
      </c>
      <c r="B14" s="4" t="s">
        <v>23</v>
      </c>
      <c r="C14" s="4" t="s">
        <v>21</v>
      </c>
      <c r="D14" s="4" t="s">
        <v>8</v>
      </c>
      <c r="E14" s="4">
        <v>21.53</v>
      </c>
      <c r="F14" s="4">
        <v>4.45</v>
      </c>
      <c r="G14" s="4" t="s">
        <v>63</v>
      </c>
      <c r="H14" s="4"/>
      <c r="I14" s="4"/>
      <c r="J14" s="4"/>
    </row>
    <row r="15" spans="1:10" ht="15.75" customHeight="1" x14ac:dyDescent="0.15">
      <c r="A15" s="4">
        <v>14</v>
      </c>
      <c r="B15" s="4" t="s">
        <v>23</v>
      </c>
      <c r="C15" s="4" t="s">
        <v>21</v>
      </c>
      <c r="D15" s="4" t="s">
        <v>55</v>
      </c>
      <c r="E15" s="4">
        <v>30.42</v>
      </c>
      <c r="F15" s="4">
        <v>25.56</v>
      </c>
      <c r="G15" s="4" t="s">
        <v>63</v>
      </c>
      <c r="H15" s="4"/>
      <c r="I15" s="4"/>
      <c r="J15" s="4"/>
    </row>
    <row r="16" spans="1:10" ht="15.75" customHeight="1" x14ac:dyDescent="0.15">
      <c r="A16" s="4">
        <v>15</v>
      </c>
      <c r="B16" s="4" t="s">
        <v>23</v>
      </c>
      <c r="C16" s="4" t="s">
        <v>21</v>
      </c>
      <c r="D16" s="4" t="s">
        <v>53</v>
      </c>
      <c r="E16" s="4">
        <v>19.2</v>
      </c>
      <c r="F16" s="4">
        <v>6.75</v>
      </c>
      <c r="G16" s="4" t="s">
        <v>63</v>
      </c>
      <c r="H16" s="4"/>
      <c r="I16" s="4"/>
      <c r="J16" s="4"/>
    </row>
    <row r="17" spans="1:10" ht="15.75" customHeight="1" x14ac:dyDescent="0.15">
      <c r="A17" s="4">
        <v>16</v>
      </c>
      <c r="B17" s="4" t="s">
        <v>23</v>
      </c>
      <c r="C17" s="4" t="s">
        <v>21</v>
      </c>
      <c r="D17" s="4" t="s">
        <v>57</v>
      </c>
      <c r="E17" s="4">
        <v>69.12</v>
      </c>
      <c r="F17" s="4">
        <v>23.29</v>
      </c>
      <c r="G17" s="4" t="s">
        <v>63</v>
      </c>
      <c r="H17" s="4"/>
      <c r="I17" s="4"/>
      <c r="J17" s="4"/>
    </row>
    <row r="18" spans="1:10" ht="15.75" customHeight="1" x14ac:dyDescent="0.15">
      <c r="A18" s="4">
        <v>17</v>
      </c>
      <c r="B18" s="4" t="s">
        <v>23</v>
      </c>
      <c r="C18" s="4" t="s">
        <v>21</v>
      </c>
      <c r="D18" s="4" t="s">
        <v>59</v>
      </c>
      <c r="E18" s="4">
        <v>40.549999999999997</v>
      </c>
      <c r="F18" s="4">
        <v>7.76</v>
      </c>
      <c r="G18" s="4" t="s">
        <v>63</v>
      </c>
      <c r="H18" s="4"/>
      <c r="I18" s="4"/>
      <c r="J18" s="4"/>
    </row>
    <row r="19" spans="1:10" ht="15.75" customHeight="1" x14ac:dyDescent="0.15">
      <c r="A19" s="4">
        <v>18</v>
      </c>
      <c r="B19" s="4" t="s">
        <v>23</v>
      </c>
      <c r="C19" s="4" t="s">
        <v>21</v>
      </c>
      <c r="D19" s="4" t="s">
        <v>61</v>
      </c>
      <c r="E19" s="4">
        <v>44.03</v>
      </c>
      <c r="F19" s="4">
        <v>14.81</v>
      </c>
      <c r="G19" s="4" t="s">
        <v>63</v>
      </c>
      <c r="H19" s="4"/>
      <c r="I19" s="4"/>
      <c r="J19" s="4"/>
    </row>
    <row r="20" spans="1:10" ht="15.75" customHeight="1" x14ac:dyDescent="0.15">
      <c r="A20" s="5">
        <v>19</v>
      </c>
      <c r="B20" s="5" t="s">
        <v>23</v>
      </c>
      <c r="C20" s="5" t="s">
        <v>22</v>
      </c>
      <c r="D20" s="5" t="s">
        <v>8</v>
      </c>
      <c r="E20" s="5">
        <v>2.73</v>
      </c>
      <c r="F20" s="5">
        <v>0.41</v>
      </c>
      <c r="G20" s="5" t="s">
        <v>63</v>
      </c>
      <c r="H20" s="5"/>
      <c r="I20" s="5"/>
      <c r="J20" s="5"/>
    </row>
    <row r="21" spans="1:10" ht="15.75" customHeight="1" x14ac:dyDescent="0.15">
      <c r="A21" s="5">
        <v>20</v>
      </c>
      <c r="B21" s="5" t="s">
        <v>23</v>
      </c>
      <c r="C21" s="5" t="s">
        <v>22</v>
      </c>
      <c r="D21" s="5" t="s">
        <v>55</v>
      </c>
      <c r="E21" s="5">
        <v>3.13</v>
      </c>
      <c r="F21" s="5">
        <v>0.42</v>
      </c>
      <c r="G21" s="5" t="s">
        <v>63</v>
      </c>
      <c r="H21" s="5"/>
      <c r="I21" s="5"/>
      <c r="J21" s="5"/>
    </row>
    <row r="22" spans="1:10" ht="15.75" customHeight="1" x14ac:dyDescent="0.15">
      <c r="A22" s="5">
        <v>21</v>
      </c>
      <c r="B22" s="5" t="s">
        <v>23</v>
      </c>
      <c r="C22" s="5" t="s">
        <v>22</v>
      </c>
      <c r="D22" s="5" t="s">
        <v>53</v>
      </c>
      <c r="E22" s="5">
        <v>3.48</v>
      </c>
      <c r="F22" s="5">
        <v>1.07</v>
      </c>
      <c r="G22" s="5" t="s">
        <v>63</v>
      </c>
      <c r="H22" s="5"/>
      <c r="I22" s="5"/>
      <c r="J22" s="5"/>
    </row>
    <row r="23" spans="1:10" ht="15.75" customHeight="1" x14ac:dyDescent="0.15">
      <c r="A23" s="5">
        <v>22</v>
      </c>
      <c r="B23" s="5" t="s">
        <v>23</v>
      </c>
      <c r="C23" s="5" t="s">
        <v>22</v>
      </c>
      <c r="D23" s="5" t="s">
        <v>57</v>
      </c>
      <c r="E23" s="5">
        <v>3.06</v>
      </c>
      <c r="F23" s="5">
        <v>0.47</v>
      </c>
      <c r="G23" s="5" t="s">
        <v>63</v>
      </c>
      <c r="H23" s="5"/>
      <c r="I23" s="5"/>
      <c r="J23" s="5"/>
    </row>
    <row r="24" spans="1:10" ht="15.75" customHeight="1" x14ac:dyDescent="0.15">
      <c r="A24" s="5">
        <v>23</v>
      </c>
      <c r="B24" s="5" t="s">
        <v>23</v>
      </c>
      <c r="C24" s="5" t="s">
        <v>22</v>
      </c>
      <c r="D24" s="5" t="s">
        <v>59</v>
      </c>
      <c r="E24" s="5">
        <v>2.52</v>
      </c>
      <c r="F24" s="5">
        <v>0.36</v>
      </c>
      <c r="G24" s="5" t="s">
        <v>63</v>
      </c>
      <c r="H24" s="5"/>
      <c r="I24" s="5"/>
      <c r="J24" s="5"/>
    </row>
    <row r="25" spans="1:10" ht="15.75" customHeight="1" x14ac:dyDescent="0.15">
      <c r="A25" s="5">
        <v>24</v>
      </c>
      <c r="B25" s="5" t="s">
        <v>23</v>
      </c>
      <c r="C25" s="5" t="s">
        <v>22</v>
      </c>
      <c r="D25" s="5" t="s">
        <v>61</v>
      </c>
      <c r="E25" s="5">
        <v>1.45</v>
      </c>
      <c r="F25" s="5">
        <v>0.26</v>
      </c>
      <c r="G25" s="5" t="s">
        <v>63</v>
      </c>
      <c r="H25" s="5"/>
      <c r="I25" s="5"/>
      <c r="J25" s="5"/>
    </row>
    <row r="26" spans="1:10" ht="15.75" customHeight="1" x14ac:dyDescent="0.15">
      <c r="A26" s="4">
        <v>25</v>
      </c>
      <c r="B26" s="4" t="s">
        <v>23</v>
      </c>
      <c r="C26" s="4" t="s">
        <v>23</v>
      </c>
      <c r="D26" s="4" t="s">
        <v>52</v>
      </c>
      <c r="E26" s="4">
        <v>15.02</v>
      </c>
      <c r="F26" s="4">
        <v>16.96</v>
      </c>
      <c r="G26" s="4" t="s">
        <v>63</v>
      </c>
      <c r="H26" s="4"/>
      <c r="I26" s="4"/>
      <c r="J26" s="4"/>
    </row>
    <row r="27" spans="1:10" ht="15.75" customHeight="1" x14ac:dyDescent="0.15">
      <c r="A27" s="4">
        <v>26</v>
      </c>
      <c r="B27" s="4" t="s">
        <v>23</v>
      </c>
      <c r="C27" s="4" t="s">
        <v>23</v>
      </c>
      <c r="D27" s="4" t="s">
        <v>52</v>
      </c>
      <c r="E27" s="4">
        <v>15.95</v>
      </c>
      <c r="F27" s="4">
        <v>15.34</v>
      </c>
      <c r="G27" s="4" t="s">
        <v>63</v>
      </c>
      <c r="H27" s="4"/>
      <c r="I27" s="4"/>
      <c r="J27" s="4"/>
    </row>
    <row r="28" spans="1:10" ht="15.75" customHeight="1" x14ac:dyDescent="0.15">
      <c r="A28" s="4">
        <v>27</v>
      </c>
      <c r="B28" s="4" t="s">
        <v>23</v>
      </c>
      <c r="C28" s="4" t="s">
        <v>23</v>
      </c>
      <c r="D28" s="4" t="s">
        <v>54</v>
      </c>
      <c r="E28" s="4">
        <v>17.809999999999999</v>
      </c>
      <c r="F28" s="4">
        <v>8.26</v>
      </c>
      <c r="G28" s="4" t="s">
        <v>63</v>
      </c>
      <c r="H28" s="4"/>
      <c r="I28" s="4"/>
      <c r="J28" s="4"/>
    </row>
    <row r="29" spans="1:10" ht="15.75" customHeight="1" x14ac:dyDescent="0.15">
      <c r="A29" s="4">
        <v>28</v>
      </c>
      <c r="B29" s="4" t="s">
        <v>23</v>
      </c>
      <c r="C29" s="4" t="s">
        <v>23</v>
      </c>
      <c r="D29" s="4" t="s">
        <v>58</v>
      </c>
      <c r="E29" s="4">
        <v>14.52</v>
      </c>
      <c r="F29" s="4">
        <v>6.78</v>
      </c>
      <c r="G29" s="4" t="s">
        <v>63</v>
      </c>
      <c r="H29" s="4"/>
      <c r="I29" s="4"/>
      <c r="J29" s="4"/>
    </row>
    <row r="30" spans="1:10" ht="15.75" customHeight="1" x14ac:dyDescent="0.15">
      <c r="A30" s="4">
        <v>29</v>
      </c>
      <c r="B30" s="4" t="s">
        <v>23</v>
      </c>
      <c r="C30" s="4" t="s">
        <v>23</v>
      </c>
      <c r="D30" s="4" t="s">
        <v>60</v>
      </c>
      <c r="E30" s="4">
        <v>18.5</v>
      </c>
      <c r="F30" s="4">
        <v>7.28</v>
      </c>
      <c r="G30" s="4" t="s">
        <v>63</v>
      </c>
      <c r="H30" s="4"/>
      <c r="I30" s="4"/>
      <c r="J30" s="4"/>
    </row>
    <row r="31" spans="1:10" ht="15.75" customHeight="1" x14ac:dyDescent="0.15">
      <c r="A31" s="4">
        <v>30</v>
      </c>
      <c r="B31" s="4" t="s">
        <v>23</v>
      </c>
      <c r="C31" s="4" t="s">
        <v>23</v>
      </c>
      <c r="D31" s="4" t="s">
        <v>62</v>
      </c>
      <c r="E31" s="4">
        <v>8.3000000000000007</v>
      </c>
      <c r="F31" s="4">
        <v>8.75</v>
      </c>
      <c r="G31" s="4" t="s">
        <v>63</v>
      </c>
      <c r="H31" s="4"/>
      <c r="I31" s="4"/>
      <c r="J31" s="4"/>
    </row>
    <row r="32" spans="1:10" ht="15.75" customHeight="1" x14ac:dyDescent="0.15">
      <c r="A32" s="5">
        <v>31</v>
      </c>
      <c r="B32" s="5" t="s">
        <v>23</v>
      </c>
      <c r="C32" s="5" t="s">
        <v>36</v>
      </c>
      <c r="D32" s="5" t="s">
        <v>64</v>
      </c>
      <c r="E32" s="5">
        <v>0.55000000000000004</v>
      </c>
      <c r="F32" s="5">
        <v>0.08</v>
      </c>
      <c r="G32" s="5" t="s">
        <v>71</v>
      </c>
      <c r="H32" s="5">
        <f>ROUND((E32*(1-E32)/(F32*F32)-1)*E32,2)</f>
        <v>20.72</v>
      </c>
      <c r="I32" s="5">
        <f>ROUND((E32*(1-E32)/(F32*F32)-1)*(1-E32),2)</f>
        <v>16.95</v>
      </c>
      <c r="J32" s="5"/>
    </row>
    <row r="33" spans="1:10" ht="15.75" customHeight="1" x14ac:dyDescent="0.15">
      <c r="A33" s="5">
        <v>32</v>
      </c>
      <c r="B33" s="5" t="s">
        <v>23</v>
      </c>
      <c r="C33" s="5" t="s">
        <v>36</v>
      </c>
      <c r="D33" s="5" t="s">
        <v>65</v>
      </c>
      <c r="E33" s="5">
        <v>0.74</v>
      </c>
      <c r="F33" s="5">
        <v>0.02</v>
      </c>
      <c r="G33" s="5" t="s">
        <v>71</v>
      </c>
      <c r="H33" s="5">
        <f t="shared" ref="H33:H37" si="0">ROUND((E33*(1-E33)/(F33*F33)-1)*E33,2)</f>
        <v>355.2</v>
      </c>
      <c r="I33" s="5">
        <f t="shared" ref="I33:I37" si="1">ROUND((E33*(1-E33)/(F33*F33)-1)*(1-E33),2)</f>
        <v>124.8</v>
      </c>
      <c r="J33" s="5"/>
    </row>
    <row r="34" spans="1:10" ht="15.75" customHeight="1" x14ac:dyDescent="0.15">
      <c r="A34" s="5">
        <v>33</v>
      </c>
      <c r="B34" s="5" t="s">
        <v>23</v>
      </c>
      <c r="C34" s="5" t="s">
        <v>36</v>
      </c>
      <c r="D34" s="5" t="s">
        <v>66</v>
      </c>
      <c r="E34" s="5">
        <v>0.74</v>
      </c>
      <c r="F34" s="5">
        <v>0.03</v>
      </c>
      <c r="G34" s="5" t="s">
        <v>71</v>
      </c>
      <c r="H34" s="5">
        <f t="shared" si="0"/>
        <v>157.46</v>
      </c>
      <c r="I34" s="5">
        <f t="shared" si="1"/>
        <v>55.32</v>
      </c>
      <c r="J34" s="5"/>
    </row>
    <row r="35" spans="1:10" ht="15.75" customHeight="1" x14ac:dyDescent="0.15">
      <c r="A35" s="5">
        <v>34</v>
      </c>
      <c r="B35" s="5" t="s">
        <v>23</v>
      </c>
      <c r="C35" s="5" t="s">
        <v>36</v>
      </c>
      <c r="D35" s="5" t="s">
        <v>67</v>
      </c>
      <c r="E35" s="5">
        <v>0.74</v>
      </c>
      <c r="F35" s="5">
        <v>0.03</v>
      </c>
      <c r="G35" s="5" t="s">
        <v>71</v>
      </c>
      <c r="H35" s="5">
        <f t="shared" si="0"/>
        <v>157.46</v>
      </c>
      <c r="I35" s="5">
        <f t="shared" si="1"/>
        <v>55.32</v>
      </c>
      <c r="J35" s="5"/>
    </row>
    <row r="36" spans="1:10" ht="15.75" customHeight="1" x14ac:dyDescent="0.15">
      <c r="A36" s="5">
        <v>35</v>
      </c>
      <c r="B36" s="5" t="s">
        <v>23</v>
      </c>
      <c r="C36" s="5" t="s">
        <v>36</v>
      </c>
      <c r="D36" s="5" t="s">
        <v>68</v>
      </c>
      <c r="E36" s="5">
        <v>0.74</v>
      </c>
      <c r="F36" s="5">
        <v>0.02</v>
      </c>
      <c r="G36" s="5" t="s">
        <v>71</v>
      </c>
      <c r="H36" s="5">
        <f t="shared" si="0"/>
        <v>355.2</v>
      </c>
      <c r="I36" s="5">
        <f t="shared" si="1"/>
        <v>124.8</v>
      </c>
      <c r="J36" s="5"/>
    </row>
    <row r="37" spans="1:10" ht="15.75" customHeight="1" x14ac:dyDescent="0.15">
      <c r="A37" s="5">
        <v>36</v>
      </c>
      <c r="B37" s="5" t="s">
        <v>23</v>
      </c>
      <c r="C37" s="5" t="s">
        <v>36</v>
      </c>
      <c r="D37" s="5" t="s">
        <v>69</v>
      </c>
      <c r="E37" s="5">
        <v>0.74</v>
      </c>
      <c r="F37" s="5">
        <v>0.03</v>
      </c>
      <c r="G37" s="5" t="s">
        <v>71</v>
      </c>
      <c r="H37" s="5">
        <f t="shared" si="0"/>
        <v>157.46</v>
      </c>
      <c r="I37" s="5">
        <f t="shared" si="1"/>
        <v>55.32</v>
      </c>
      <c r="J37" s="5"/>
    </row>
  </sheetData>
  <dataValidations count="1">
    <dataValidation type="list" allowBlank="1" showErrorMessage="1" sqref="C2:C31" xr:uid="{3D7EF7D9-A43C-A04A-950F-6332D8AE5CD1}">
      <formula1>"AGB,BGB,DW,LI,SOC,ALL"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2024-11-26T05:23:27Z</dcterms:created>
  <dcterms:modified xsi:type="dcterms:W3CDTF">2026-04-13T07:11:31Z</dcterms:modified>
</cp:coreProperties>
</file>