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gaelsola/code/mocaredd.dev2/tests/"/>
    </mc:Choice>
  </mc:AlternateContent>
  <xr:revisionPtr revIDLastSave="0" documentId="13_ncr:1_{D3C411C1-A367-B441-B12E-9531A99CD47C}" xr6:coauthVersionLast="47" xr6:coauthVersionMax="47" xr10:uidLastSave="{00000000-0000-0000-0000-000000000000}"/>
  <bookViews>
    <workbookView xWindow="1200" yWindow="660" windowWidth="28180" windowHeight="18460" activeTab="3" xr2:uid="{00000000-000D-0000-FFFF-FFFF00000000}"/>
  </bookViews>
  <sheets>
    <sheet name="Activity Data" sheetId="1" r:id="rId1"/>
    <sheet name="Cstock EFs" sheetId="3" r:id="rId2"/>
    <sheet name="BaseLine &amp; ER" sheetId="9" r:id="rId3"/>
    <sheet name="setup" sheetId="5" r:id="rId4"/>
    <sheet name="time" sheetId="6" r:id="rId5"/>
    <sheet name="area" sheetId="7" r:id="rId6"/>
    <sheet name="carbon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auSHiXhvIy6OJf5UQxfXqLDXIQC3pgKCugeSXfnS1SA="/>
    </ext>
  </extLst>
</workbook>
</file>

<file path=xl/calcChain.xml><?xml version="1.0" encoding="utf-8"?>
<calcChain xmlns="http://schemas.openxmlformats.org/spreadsheetml/2006/main">
  <c r="G6" i="8" l="1"/>
  <c r="F18" i="9" l="1"/>
  <c r="F17" i="9"/>
  <c r="D18" i="9"/>
  <c r="D17" i="9"/>
  <c r="H7" i="9"/>
  <c r="H6" i="9"/>
  <c r="D7" i="9"/>
  <c r="D6" i="9"/>
  <c r="I7" i="9"/>
  <c r="I6" i="9"/>
  <c r="E7" i="9"/>
  <c r="E6" i="9"/>
  <c r="E18" i="9" l="1"/>
  <c r="G18" i="9"/>
  <c r="G17" i="9"/>
  <c r="E17" i="9"/>
  <c r="G5" i="3"/>
  <c r="G7" i="3"/>
  <c r="I3" i="3" l="1"/>
  <c r="I5" i="3" s="1"/>
  <c r="I4" i="3"/>
  <c r="D139" i="3" l="1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G26" i="3" s="1"/>
  <c r="H26" i="3" s="1"/>
  <c r="I26" i="3" s="1"/>
  <c r="J26" i="3" s="1"/>
  <c r="K26" i="3" s="1"/>
  <c r="D93" i="3"/>
  <c r="D92" i="3"/>
  <c r="D91" i="3"/>
  <c r="D90" i="3"/>
  <c r="D89" i="3"/>
  <c r="D88" i="3"/>
  <c r="D87" i="3"/>
  <c r="D86" i="3"/>
  <c r="D85" i="3"/>
  <c r="D84" i="3"/>
  <c r="D83" i="3"/>
  <c r="D82" i="3"/>
  <c r="G25" i="3" s="1"/>
  <c r="H25" i="3" s="1"/>
  <c r="I25" i="3" s="1"/>
  <c r="J25" i="3" s="1"/>
  <c r="K25" i="3" s="1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G19" i="3" s="1"/>
  <c r="H19" i="3" s="1"/>
  <c r="I19" i="3" s="1"/>
  <c r="J19" i="3" s="1"/>
  <c r="K19" i="3" s="1"/>
  <c r="D25" i="3"/>
  <c r="D24" i="3"/>
  <c r="D23" i="3"/>
  <c r="G18" i="3" s="1"/>
  <c r="H18" i="3" s="1"/>
  <c r="I18" i="3" s="1"/>
  <c r="J18" i="3" s="1"/>
  <c r="K18" i="3" s="1"/>
  <c r="D22" i="3"/>
  <c r="D21" i="3"/>
  <c r="D20" i="3"/>
  <c r="D19" i="3"/>
  <c r="D18" i="3"/>
  <c r="G15" i="3" s="1"/>
  <c r="H15" i="3" s="1"/>
  <c r="I15" i="3" s="1"/>
  <c r="J15" i="3" s="1"/>
  <c r="K15" i="3" s="1"/>
  <c r="D17" i="3"/>
  <c r="D16" i="3"/>
  <c r="D15" i="3"/>
  <c r="D14" i="3"/>
  <c r="G14" i="3" s="1"/>
  <c r="H14" i="3" s="1"/>
  <c r="I14" i="3" s="1"/>
  <c r="J14" i="3" s="1"/>
  <c r="K14" i="3" s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J11" i="1"/>
  <c r="M11" i="1" s="1"/>
  <c r="I11" i="1"/>
  <c r="F11" i="1"/>
  <c r="E11" i="1"/>
  <c r="J10" i="1"/>
  <c r="L10" i="1" s="1"/>
  <c r="N10" i="1" s="1"/>
  <c r="O10" i="1" s="1"/>
  <c r="P10" i="1" s="1"/>
  <c r="F10" i="1"/>
  <c r="E10" i="1"/>
  <c r="F9" i="1"/>
  <c r="E9" i="1"/>
  <c r="F8" i="1"/>
  <c r="E8" i="1"/>
  <c r="F7" i="1"/>
  <c r="E7" i="1"/>
  <c r="F6" i="1"/>
  <c r="E6" i="1"/>
  <c r="F5" i="1"/>
  <c r="E5" i="1"/>
  <c r="J4" i="1"/>
  <c r="L4" i="1" s="1"/>
  <c r="N4" i="1" s="1"/>
  <c r="O4" i="1" s="1"/>
  <c r="P4" i="1" s="1"/>
  <c r="I4" i="1"/>
  <c r="F4" i="1"/>
  <c r="I10" i="1" s="1"/>
  <c r="E4" i="1"/>
  <c r="J3" i="1"/>
  <c r="M3" i="1" s="1"/>
  <c r="I3" i="1"/>
  <c r="F3" i="1"/>
  <c r="E3" i="1"/>
  <c r="G24" i="3" l="1"/>
  <c r="H24" i="3" s="1"/>
  <c r="I24" i="3" s="1"/>
  <c r="J24" i="3" s="1"/>
  <c r="K24" i="3" s="1"/>
  <c r="G20" i="3"/>
  <c r="H20" i="3" s="1"/>
  <c r="I20" i="3" s="1"/>
  <c r="J20" i="3" s="1"/>
  <c r="K20" i="3" s="1"/>
  <c r="G21" i="3"/>
  <c r="H21" i="3" s="1"/>
  <c r="G29" i="3"/>
  <c r="H29" i="3" s="1"/>
  <c r="G16" i="3"/>
  <c r="H16" i="3" s="1"/>
  <c r="I16" i="3" s="1"/>
  <c r="J16" i="3" s="1"/>
  <c r="K16" i="3" s="1"/>
  <c r="G17" i="3"/>
  <c r="H17" i="3" s="1"/>
  <c r="I17" i="3" s="1"/>
  <c r="J17" i="3" s="1"/>
  <c r="K17" i="3" s="1"/>
  <c r="G22" i="3"/>
  <c r="H22" i="3" s="1"/>
  <c r="I22" i="3" s="1"/>
  <c r="J22" i="3" s="1"/>
  <c r="K22" i="3" s="1"/>
  <c r="G23" i="3"/>
  <c r="H23" i="3" s="1"/>
  <c r="G27" i="3"/>
  <c r="H27" i="3" s="1"/>
  <c r="G28" i="3"/>
  <c r="H28" i="3" s="1"/>
  <c r="I28" i="3" s="1"/>
  <c r="J28" i="3" s="1"/>
  <c r="K28" i="3" s="1"/>
  <c r="L11" i="1"/>
  <c r="N11" i="1" s="1"/>
  <c r="O11" i="1" s="1"/>
  <c r="P11" i="1" s="1"/>
  <c r="Q11" i="1" s="1"/>
  <c r="M4" i="1"/>
  <c r="Q4" i="1" s="1"/>
  <c r="M10" i="1"/>
  <c r="Q10" i="1" s="1"/>
  <c r="L3" i="1"/>
  <c r="N3" i="1" s="1"/>
  <c r="O3" i="1" s="1"/>
  <c r="P3" i="1" s="1"/>
  <c r="Q3" i="1" s="1"/>
  <c r="I21" i="3" l="1"/>
  <c r="J21" i="3"/>
  <c r="K21" i="3" s="1"/>
  <c r="Q14" i="3" s="1"/>
  <c r="R14" i="3" s="1"/>
  <c r="S14" i="3" s="1"/>
  <c r="O14" i="3"/>
  <c r="I29" i="3"/>
  <c r="J29" i="3"/>
  <c r="K29" i="3" s="1"/>
  <c r="I27" i="3"/>
  <c r="J27" i="3"/>
  <c r="K27" i="3" s="1"/>
  <c r="P15" i="3" s="1"/>
  <c r="N22" i="3" s="1"/>
  <c r="I23" i="3"/>
  <c r="J23" i="3"/>
  <c r="K23" i="3" s="1"/>
  <c r="P34" i="3"/>
  <c r="N47" i="3" s="1"/>
  <c r="N41" i="3"/>
  <c r="P41" i="3" s="1"/>
  <c r="R41" i="3" s="1"/>
  <c r="O34" i="3"/>
  <c r="Q34" i="3"/>
  <c r="R34" i="3" s="1"/>
  <c r="S34" i="3" s="1"/>
  <c r="O35" i="3"/>
  <c r="Q35" i="3"/>
  <c r="R35" i="3" s="1"/>
  <c r="S35" i="3" s="1"/>
  <c r="P35" i="3"/>
  <c r="O21" i="3" l="1"/>
  <c r="P21" i="3" s="1"/>
  <c r="B6" i="9" s="1"/>
  <c r="O22" i="3"/>
  <c r="P22" i="3" s="1"/>
  <c r="B7" i="9" s="1"/>
  <c r="O15" i="3"/>
  <c r="Q15" i="3"/>
  <c r="R15" i="3" s="1"/>
  <c r="T34" i="3"/>
  <c r="O47" i="3" s="1"/>
  <c r="P14" i="3"/>
  <c r="N21" i="3" s="1"/>
  <c r="T35" i="3"/>
  <c r="O48" i="3" s="1"/>
  <c r="N43" i="3"/>
  <c r="P43" i="3" s="1"/>
  <c r="R43" i="3" s="1"/>
  <c r="N48" i="3"/>
  <c r="N42" i="3"/>
  <c r="P42" i="3" s="1"/>
  <c r="R42" i="3" s="1"/>
  <c r="N54" i="3"/>
  <c r="O42" i="3"/>
  <c r="J7" i="9" l="1"/>
  <c r="F7" i="9"/>
  <c r="L7" i="9" s="1"/>
  <c r="O41" i="3"/>
  <c r="Q41" i="3" s="1"/>
  <c r="S41" i="3" s="1"/>
  <c r="T41" i="3" s="1"/>
  <c r="F6" i="9"/>
  <c r="J6" i="9"/>
  <c r="O43" i="3"/>
  <c r="Q43" i="3" s="1"/>
  <c r="S43" i="3" s="1"/>
  <c r="T43" i="3" s="1"/>
  <c r="T14" i="3"/>
  <c r="Q21" i="3" s="1"/>
  <c r="C6" i="9" s="1"/>
  <c r="O54" i="3"/>
  <c r="P54" i="3" s="1"/>
  <c r="B17" i="9" s="1"/>
  <c r="O55" i="3"/>
  <c r="N55" i="3"/>
  <c r="Q42" i="3"/>
  <c r="S42" i="3" s="1"/>
  <c r="T42" i="3" s="1"/>
  <c r="S15" i="3"/>
  <c r="T15" i="3" s="1"/>
  <c r="Q22" i="3" s="1"/>
  <c r="C7" i="9" s="1"/>
  <c r="Q55" i="3"/>
  <c r="C18" i="9" s="1"/>
  <c r="I18" i="9" s="1"/>
  <c r="Q54" i="3"/>
  <c r="C17" i="9" s="1"/>
  <c r="P55" i="3" l="1"/>
  <c r="B18" i="9" s="1"/>
  <c r="K18" i="9"/>
  <c r="H17" i="9"/>
  <c r="J17" i="9"/>
  <c r="H18" i="9"/>
  <c r="J18" i="9"/>
  <c r="F8" i="9"/>
  <c r="F9" i="9" s="1"/>
  <c r="L6" i="9"/>
  <c r="G7" i="9"/>
  <c r="K7" i="9"/>
  <c r="J8" i="9"/>
  <c r="J9" i="9" s="1"/>
  <c r="K6" i="9"/>
  <c r="G6" i="9"/>
  <c r="K17" i="9"/>
  <c r="I17" i="9"/>
  <c r="C22" i="9" l="1"/>
  <c r="G8" i="9"/>
  <c r="G9" i="9" s="1"/>
  <c r="B23" i="9"/>
  <c r="B22" i="9"/>
  <c r="B24" i="9" s="1"/>
  <c r="B27" i="9" s="1"/>
  <c r="M6" i="9"/>
  <c r="L8" i="9"/>
  <c r="L9" i="9" s="1"/>
  <c r="M7" i="9"/>
  <c r="K8" i="9"/>
  <c r="K9" i="9" s="1"/>
  <c r="C23" i="9"/>
  <c r="M8" i="9" l="1"/>
  <c r="M9" i="9" s="1"/>
  <c r="C24" i="9"/>
  <c r="C27" i="9" s="1"/>
</calcChain>
</file>

<file path=xl/sharedStrings.xml><?xml version="1.0" encoding="utf-8"?>
<sst xmlns="http://schemas.openxmlformats.org/spreadsheetml/2006/main" count="1292" uniqueCount="401">
  <si>
    <t>Activity Data</t>
  </si>
  <si>
    <t>Plot ID</t>
  </si>
  <si>
    <t>LU2010</t>
  </si>
  <si>
    <t>LU2015</t>
  </si>
  <si>
    <t>LULC</t>
  </si>
  <si>
    <t>Sample Size (n)</t>
  </si>
  <si>
    <t>Proportion of forest loss, p</t>
  </si>
  <si>
    <t>Stratum area, ha</t>
  </si>
  <si>
    <t>Variance of stratum sample, var_stratum_sample</t>
  </si>
  <si>
    <t>Area of forest loss (AFL), ha</t>
  </si>
  <si>
    <t>Variance of forest loss, var_AFL</t>
  </si>
  <si>
    <r>
      <rPr>
        <sz val="11"/>
        <color theme="1"/>
        <rFont val="Calibri"/>
        <family val="2"/>
      </rPr>
      <t xml:space="preserve">Standard Deviation, </t>
    </r>
    <r>
      <rPr>
        <i/>
        <sz val="11"/>
        <color theme="1"/>
        <rFont val="Calibri"/>
        <family val="2"/>
      </rPr>
      <t>s</t>
    </r>
  </si>
  <si>
    <t>Standard Error, SE (ha)</t>
  </si>
  <si>
    <t>Uncertainty (%)</t>
  </si>
  <si>
    <t>TE1</t>
  </si>
  <si>
    <t>TE</t>
  </si>
  <si>
    <t>S</t>
  </si>
  <si>
    <t>Tropical Evergreen</t>
  </si>
  <si>
    <t>TE2</t>
  </si>
  <si>
    <t>Tropical Deciduous</t>
  </si>
  <si>
    <t>TE3</t>
  </si>
  <si>
    <t>Settlement</t>
  </si>
  <si>
    <t>TE4</t>
  </si>
  <si>
    <t>TE5</t>
  </si>
  <si>
    <t>Legend for Strata</t>
  </si>
  <si>
    <t>Legend for Change in LU</t>
  </si>
  <si>
    <t>TE6</t>
  </si>
  <si>
    <t>Tropical Evergreen Forest; TE</t>
  </si>
  <si>
    <t>No change</t>
  </si>
  <si>
    <t>TE7</t>
  </si>
  <si>
    <t>Tropical Deciduous Forest; TD</t>
  </si>
  <si>
    <t>Forest loss</t>
  </si>
  <si>
    <t>TE8</t>
  </si>
  <si>
    <t>Settlement; S</t>
  </si>
  <si>
    <t>TE9</t>
  </si>
  <si>
    <t>TE10</t>
  </si>
  <si>
    <t>TE11</t>
  </si>
  <si>
    <t>TE12</t>
  </si>
  <si>
    <t>TE13</t>
  </si>
  <si>
    <t>TE14</t>
  </si>
  <si>
    <t>TE15</t>
  </si>
  <si>
    <t>TE16</t>
  </si>
  <si>
    <t>TE17</t>
  </si>
  <si>
    <t>TE18</t>
  </si>
  <si>
    <t>TE19</t>
  </si>
  <si>
    <t>TE20</t>
  </si>
  <si>
    <t>TE21</t>
  </si>
  <si>
    <t>TE22</t>
  </si>
  <si>
    <t>TE23</t>
  </si>
  <si>
    <t>TE24</t>
  </si>
  <si>
    <t>TE25</t>
  </si>
  <si>
    <t>TE26</t>
  </si>
  <si>
    <t>TE27</t>
  </si>
  <si>
    <t>TE28</t>
  </si>
  <si>
    <t>TE29</t>
  </si>
  <si>
    <t>TE30</t>
  </si>
  <si>
    <t>TE31</t>
  </si>
  <si>
    <t>TE32</t>
  </si>
  <si>
    <t>TE33</t>
  </si>
  <si>
    <t>TE34</t>
  </si>
  <si>
    <t>TE35</t>
  </si>
  <si>
    <t>TE36</t>
  </si>
  <si>
    <t>TE37</t>
  </si>
  <si>
    <t>TE38</t>
  </si>
  <si>
    <t>TE39</t>
  </si>
  <si>
    <t>TE40</t>
  </si>
  <si>
    <t>TE41</t>
  </si>
  <si>
    <t>TE42</t>
  </si>
  <si>
    <t>TE43</t>
  </si>
  <si>
    <t>TE44</t>
  </si>
  <si>
    <t>TE45</t>
  </si>
  <si>
    <t>TE46</t>
  </si>
  <si>
    <t>TE47</t>
  </si>
  <si>
    <t>TE48</t>
  </si>
  <si>
    <t>TE49</t>
  </si>
  <si>
    <t>TE50</t>
  </si>
  <si>
    <t>TE51</t>
  </si>
  <si>
    <t>TE52</t>
  </si>
  <si>
    <t>TE53</t>
  </si>
  <si>
    <t>TE54</t>
  </si>
  <si>
    <t>TE55</t>
  </si>
  <si>
    <t>TE56</t>
  </si>
  <si>
    <t>TE57</t>
  </si>
  <si>
    <t>TE58</t>
  </si>
  <si>
    <t>TE59</t>
  </si>
  <si>
    <t>TE60</t>
  </si>
  <si>
    <t>TE61</t>
  </si>
  <si>
    <t>TE62</t>
  </si>
  <si>
    <t>TE63</t>
  </si>
  <si>
    <t>TE64</t>
  </si>
  <si>
    <t>TE65</t>
  </si>
  <si>
    <t>TE66</t>
  </si>
  <si>
    <t>TE67</t>
  </si>
  <si>
    <t>TE68</t>
  </si>
  <si>
    <t>TE69</t>
  </si>
  <si>
    <t>TE70</t>
  </si>
  <si>
    <t>TE71</t>
  </si>
  <si>
    <t>TE72</t>
  </si>
  <si>
    <t>TE73</t>
  </si>
  <si>
    <t>TE74</t>
  </si>
  <si>
    <t>TE75</t>
  </si>
  <si>
    <t>TE76</t>
  </si>
  <si>
    <t>TE77</t>
  </si>
  <si>
    <t>TE78</t>
  </si>
  <si>
    <t>TE79</t>
  </si>
  <si>
    <t>TE80</t>
  </si>
  <si>
    <t>TE81</t>
  </si>
  <si>
    <t>TE82</t>
  </si>
  <si>
    <t>TE83</t>
  </si>
  <si>
    <t>TE84</t>
  </si>
  <si>
    <t>TE85</t>
  </si>
  <si>
    <t>TE86</t>
  </si>
  <si>
    <t>TE87</t>
  </si>
  <si>
    <t>TE88</t>
  </si>
  <si>
    <t>TE89</t>
  </si>
  <si>
    <t>TE90</t>
  </si>
  <si>
    <t>TE91</t>
  </si>
  <si>
    <t>TE92</t>
  </si>
  <si>
    <t>TE93</t>
  </si>
  <si>
    <t>TE94</t>
  </si>
  <si>
    <t>TE95</t>
  </si>
  <si>
    <t>TE96</t>
  </si>
  <si>
    <t>TE97</t>
  </si>
  <si>
    <t>TE98</t>
  </si>
  <si>
    <t>TE99</t>
  </si>
  <si>
    <t>TE100</t>
  </si>
  <si>
    <t>TE101</t>
  </si>
  <si>
    <t>TE102</t>
  </si>
  <si>
    <t>TE103</t>
  </si>
  <si>
    <t>TE104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</si>
  <si>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</si>
  <si>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</si>
  <si>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</si>
  <si>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</si>
  <si>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</si>
  <si>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</si>
  <si>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</si>
  <si>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</si>
  <si>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</si>
  <si>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</si>
  <si>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</si>
  <si>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</si>
  <si>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</si>
  <si>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</si>
  <si>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</si>
  <si>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</si>
  <si>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TD1</t>
  </si>
  <si>
    <t>TD</t>
  </si>
  <si>
    <t>TD2</t>
  </si>
  <si>
    <t>TD3</t>
  </si>
  <si>
    <t>TD4</t>
  </si>
  <si>
    <t>TD5</t>
  </si>
  <si>
    <t>TD6</t>
  </si>
  <si>
    <t>TD7</t>
  </si>
  <si>
    <t>TD8</t>
  </si>
  <si>
    <t>TD9</t>
  </si>
  <si>
    <t>TD10</t>
  </si>
  <si>
    <t>TD11</t>
  </si>
  <si>
    <t>TD12</t>
  </si>
  <si>
    <t>TD13</t>
  </si>
  <si>
    <t>TD14</t>
  </si>
  <si>
    <t>TD15</t>
  </si>
  <si>
    <t>TD16</t>
  </si>
  <si>
    <t>TD17</t>
  </si>
  <si>
    <t>TD18</t>
  </si>
  <si>
    <t>TD19</t>
  </si>
  <si>
    <t>TD20</t>
  </si>
  <si>
    <t>TD21</t>
  </si>
  <si>
    <t>TD22</t>
  </si>
  <si>
    <t>TD23</t>
  </si>
  <si>
    <t>TD24</t>
  </si>
  <si>
    <t>TD25</t>
  </si>
  <si>
    <t>TD26</t>
  </si>
  <si>
    <t>TD27</t>
  </si>
  <si>
    <t>TD28</t>
  </si>
  <si>
    <t>TD29</t>
  </si>
  <si>
    <t>TD30</t>
  </si>
  <si>
    <t>TD31</t>
  </si>
  <si>
    <t>TD32</t>
  </si>
  <si>
    <t>TD33</t>
  </si>
  <si>
    <t>TD34</t>
  </si>
  <si>
    <t>TD35</t>
  </si>
  <si>
    <t>TD36</t>
  </si>
  <si>
    <t>TD37</t>
  </si>
  <si>
    <t>TD38</t>
  </si>
  <si>
    <t>TD39</t>
  </si>
  <si>
    <t>TD40</t>
  </si>
  <si>
    <t>TD41</t>
  </si>
  <si>
    <t>TD42</t>
  </si>
  <si>
    <t>TD43</t>
  </si>
  <si>
    <t>TD44</t>
  </si>
  <si>
    <t>TD45</t>
  </si>
  <si>
    <t>TD46</t>
  </si>
  <si>
    <t>TD47</t>
  </si>
  <si>
    <t>TD48</t>
  </si>
  <si>
    <t>TD49</t>
  </si>
  <si>
    <t>TD50</t>
  </si>
  <si>
    <t>TD51</t>
  </si>
  <si>
    <t>TD52</t>
  </si>
  <si>
    <t>TD53</t>
  </si>
  <si>
    <t>TD54</t>
  </si>
  <si>
    <t>TD55</t>
  </si>
  <si>
    <t>TD56</t>
  </si>
  <si>
    <t>TD57</t>
  </si>
  <si>
    <t>TD58</t>
  </si>
  <si>
    <t>TD59</t>
  </si>
  <si>
    <t>TD60</t>
  </si>
  <si>
    <t>TD61</t>
  </si>
  <si>
    <t>TD62</t>
  </si>
  <si>
    <t>TD63</t>
  </si>
  <si>
    <t>TD64</t>
  </si>
  <si>
    <t>TD65</t>
  </si>
  <si>
    <t>TD66</t>
  </si>
  <si>
    <t>TD67</t>
  </si>
  <si>
    <t>TD68</t>
  </si>
  <si>
    <t>TD69</t>
  </si>
  <si>
    <t>TD70</t>
  </si>
  <si>
    <t>TD71</t>
  </si>
  <si>
    <t>TD72</t>
  </si>
  <si>
    <t>TD73</t>
  </si>
  <si>
    <t>TD74</t>
  </si>
  <si>
    <t>TD75</t>
  </si>
  <si>
    <t>TD76</t>
  </si>
  <si>
    <t>TD77</t>
  </si>
  <si>
    <t>TD78</t>
  </si>
  <si>
    <t>TD79</t>
  </si>
  <si>
    <t>TD80</t>
  </si>
  <si>
    <t>Model parameter values</t>
  </si>
  <si>
    <t>Alpha</t>
  </si>
  <si>
    <t>Beta</t>
  </si>
  <si>
    <t>Wood density Values</t>
  </si>
  <si>
    <t>Units</t>
  </si>
  <si>
    <t>Derived from:</t>
  </si>
  <si>
    <t>Tropical Evergreen and Settlements</t>
  </si>
  <si>
    <t>g/cm3</t>
  </si>
  <si>
    <t>Mahogany (Swietenia macrophylla)</t>
  </si>
  <si>
    <t>Teak (Tectona grandis)</t>
  </si>
  <si>
    <t>Tree ID</t>
  </si>
  <si>
    <t>DBH (cm)</t>
  </si>
  <si>
    <t>AGB/tree (kg)</t>
  </si>
  <si>
    <t>Allometric model parameters</t>
  </si>
  <si>
    <t>Other published values</t>
  </si>
  <si>
    <t>Ratios and Factors</t>
  </si>
  <si>
    <t>R:S</t>
  </si>
  <si>
    <t>CF</t>
  </si>
  <si>
    <t>Sample data</t>
  </si>
  <si>
    <t>Carbon Stock Calculations per Plot</t>
  </si>
  <si>
    <t>Carbon Stock Summary Statistics by Land Use</t>
  </si>
  <si>
    <t>AGB (kg/plot)</t>
  </si>
  <si>
    <t>AGB (kg/ha)</t>
  </si>
  <si>
    <t>BGB (kg/ha)</t>
  </si>
  <si>
    <t>total biomass (kg/ha)</t>
  </si>
  <si>
    <t>Carbon stock (kgC/ha)</t>
  </si>
  <si>
    <t>Stratum</t>
  </si>
  <si>
    <r>
      <rPr>
        <sz val="11"/>
        <color theme="1"/>
        <rFont val="Calibri"/>
        <family val="2"/>
      </rPr>
      <t xml:space="preserve">Sample size, </t>
    </r>
    <r>
      <rPr>
        <i/>
        <sz val="11"/>
        <color theme="1"/>
        <rFont val="Calibri"/>
        <family val="2"/>
      </rPr>
      <t>n</t>
    </r>
  </si>
  <si>
    <r>
      <rPr>
        <sz val="11"/>
        <color theme="1"/>
        <rFont val="Calibri"/>
        <family val="2"/>
      </rPr>
      <t xml:space="preserve">Variance, </t>
    </r>
    <r>
      <rPr>
        <i/>
        <sz val="11"/>
        <color theme="1"/>
        <rFont val="Calibri"/>
        <family val="2"/>
      </rPr>
      <t>var</t>
    </r>
  </si>
  <si>
    <r>
      <rPr>
        <sz val="11"/>
        <color theme="1"/>
        <rFont val="Calibri"/>
        <family val="2"/>
      </rPr>
      <t xml:space="preserve">Standard deviation, </t>
    </r>
    <r>
      <rPr>
        <i/>
        <sz val="11"/>
        <color theme="1"/>
        <rFont val="Calibri"/>
        <family val="2"/>
      </rPr>
      <t xml:space="preserve">s </t>
    </r>
    <r>
      <rPr>
        <sz val="11"/>
        <color theme="1"/>
        <rFont val="Calibri"/>
        <family val="2"/>
      </rPr>
      <t>(kgC/ha)</t>
    </r>
  </si>
  <si>
    <r>
      <rPr>
        <sz val="11"/>
        <color theme="1"/>
        <rFont val="Calibri"/>
        <family val="2"/>
      </rPr>
      <t xml:space="preserve">Standard Error, </t>
    </r>
    <r>
      <rPr>
        <i/>
        <sz val="11"/>
        <color theme="1"/>
        <rFont val="Calibri"/>
        <family val="2"/>
      </rPr>
      <t>SE</t>
    </r>
  </si>
  <si>
    <t>Uncertainty, %</t>
  </si>
  <si>
    <t>Carbon Stock Change Factors (CSCF)</t>
  </si>
  <si>
    <t>Conversion type</t>
  </si>
  <si>
    <t>Tropical Evergreen to Settlement</t>
  </si>
  <si>
    <t>Tropical Deciduous to Settlement</t>
  </si>
  <si>
    <t>Median carbon stock (tC/ha)</t>
  </si>
  <si>
    <t>Mean carbon stock (tC/ha)</t>
  </si>
  <si>
    <t>trunc_pdf</t>
  </si>
  <si>
    <t>n_iter</t>
  </si>
  <si>
    <t>ran_seed</t>
  </si>
  <si>
    <t>c_unit</t>
  </si>
  <si>
    <t>dg_ext</t>
  </si>
  <si>
    <t>dg_pool</t>
  </si>
  <si>
    <t>ad_annual</t>
  </si>
  <si>
    <t>conf_level</t>
  </si>
  <si>
    <t>normal</t>
  </si>
  <si>
    <t>ALL</t>
  </si>
  <si>
    <t>period_no</t>
  </si>
  <si>
    <t>year_start</t>
  </si>
  <si>
    <t>year_end</t>
  </si>
  <si>
    <t>period_type</t>
  </si>
  <si>
    <t>T1</t>
  </si>
  <si>
    <t>REF</t>
  </si>
  <si>
    <t>T2</t>
  </si>
  <si>
    <t>trans_no</t>
  </si>
  <si>
    <t>trans_period</t>
  </si>
  <si>
    <t>trans_area</t>
  </si>
  <si>
    <t>trans_se</t>
  </si>
  <si>
    <t>trans_pdf</t>
  </si>
  <si>
    <t>trans_pdf_a</t>
  </si>
  <si>
    <t>trans_pdf_b</t>
  </si>
  <si>
    <t>trans_pdf_c</t>
  </si>
  <si>
    <t>lu_initial</t>
  </si>
  <si>
    <t>lu_final</t>
  </si>
  <si>
    <t>redd_activity</t>
  </si>
  <si>
    <t>DF</t>
  </si>
  <si>
    <t>c_no</t>
  </si>
  <si>
    <t>c_period</t>
  </si>
  <si>
    <t>c_element</t>
  </si>
  <si>
    <t>c_value</t>
  </si>
  <si>
    <t>c_se</t>
  </si>
  <si>
    <t>c_pdf</t>
  </si>
  <si>
    <t>c_pdf_a</t>
  </si>
  <si>
    <t>c_pdf_b</t>
  </si>
  <si>
    <t>c_pdf_c</t>
  </si>
  <si>
    <t>Forest Loss Summary Statistics by Land Use 2010-2015</t>
  </si>
  <si>
    <t>LU2020</t>
  </si>
  <si>
    <t>Change in LU 2010-2015</t>
  </si>
  <si>
    <t>Change in LU 2015-2020</t>
  </si>
  <si>
    <t>Tropical Evergreen Loss</t>
  </si>
  <si>
    <t>Tropical Deciduous Loss</t>
  </si>
  <si>
    <t>Forest Loss Summary Statistics by Land Use 2015-2020</t>
  </si>
  <si>
    <t>Mean carbon stock of prior land use (t/ha)</t>
  </si>
  <si>
    <t>Mean carbon stock of post land use (t/ha)</t>
  </si>
  <si>
    <t>CSCF (tC/ha)</t>
  </si>
  <si>
    <t>Carbon Stock Change</t>
  </si>
  <si>
    <t>2010-2015</t>
  </si>
  <si>
    <t>2015-2020</t>
  </si>
  <si>
    <t>ER (2010-2015) vs (2015-2020)</t>
  </si>
  <si>
    <t>Uncertainty AD (%)</t>
  </si>
  <si>
    <t>Uncertainty CSCF (%)</t>
  </si>
  <si>
    <t>Uncertainty Emissions (%)</t>
  </si>
  <si>
    <t>Uncertainty ER (%)</t>
  </si>
  <si>
    <t>Degraded</t>
  </si>
  <si>
    <t>digits</t>
  </si>
  <si>
    <t>MON1</t>
  </si>
  <si>
    <t>Tropical Evergreen Forest</t>
  </si>
  <si>
    <t>Tropical Deciduous Forest</t>
  </si>
  <si>
    <t>Settlements</t>
  </si>
  <si>
    <t>c_lu</t>
  </si>
  <si>
    <t>Mean AGB (tdm/ha)</t>
  </si>
  <si>
    <t>Median AGB (tdm/ha)</t>
  </si>
  <si>
    <r>
      <t xml:space="preserve">Standard deviation, </t>
    </r>
    <r>
      <rPr>
        <i/>
        <sz val="11"/>
        <color theme="1"/>
        <rFont val="Calibri"/>
        <family val="2"/>
      </rPr>
      <t xml:space="preserve">s </t>
    </r>
    <r>
      <rPr>
        <sz val="11"/>
        <color theme="1"/>
        <rFont val="Calibri"/>
        <family val="2"/>
      </rPr>
      <t>(kg dm/ha)</t>
    </r>
  </si>
  <si>
    <t>AGB Summary Statistics by Land Use</t>
  </si>
  <si>
    <t>Value</t>
  </si>
  <si>
    <t>SE</t>
  </si>
  <si>
    <t>U% BGB</t>
  </si>
  <si>
    <t>Confidence level</t>
  </si>
  <si>
    <t>U%</t>
  </si>
  <si>
    <t xml:space="preserve">z </t>
  </si>
  <si>
    <t>Total Biomass (tdm/ha)</t>
  </si>
  <si>
    <t>U% tot Biomass</t>
  </si>
  <si>
    <t>Carbon Stock</t>
  </si>
  <si>
    <t>U% carbon stock</t>
  </si>
  <si>
    <t>SE Carbon stock</t>
  </si>
  <si>
    <t>BGB (tdm/ha)</t>
  </si>
  <si>
    <t>AGB</t>
  </si>
  <si>
    <t>DM</t>
  </si>
  <si>
    <t>ratio</t>
  </si>
  <si>
    <t>RS</t>
  </si>
  <si>
    <t>1+R:S</t>
  </si>
  <si>
    <t>Applying U to BGB Independently from AGB reduces uncertainty, better approach direct C = AGB * (1+RS) * CF</t>
  </si>
  <si>
    <t>Carbon stock (tC/ha)</t>
  </si>
  <si>
    <t>EF</t>
  </si>
  <si>
    <t>EF U%</t>
  </si>
  <si>
    <t>AD10-15</t>
  </si>
  <si>
    <t>FRL</t>
  </si>
  <si>
    <t>Monitoring</t>
  </si>
  <si>
    <t>Emission Reductions</t>
  </si>
  <si>
    <t>AD 10-15 U%</t>
  </si>
  <si>
    <t>AD15-20</t>
  </si>
  <si>
    <t>AD 15-20 U%</t>
  </si>
  <si>
    <t>E 10-15</t>
  </si>
  <si>
    <t>E 10-15 U%</t>
  </si>
  <si>
    <t>Value (tCO2/year)</t>
  </si>
  <si>
    <t>Emissions and emission reductions (tCO2) (U propagation approach 1)</t>
  </si>
  <si>
    <t>Emissions factors</t>
  </si>
  <si>
    <t>EF (tC/ha)</t>
  </si>
  <si>
    <t>Carbon Stock Summary Statistics by Land Use (error propagation - IPCC approach1) - Incorrect as AGB and BGB fully correlated</t>
  </si>
  <si>
    <t>Efmission factors (EF)</t>
  </si>
  <si>
    <t xml:space="preserve">time period monitoring (years) </t>
  </si>
  <si>
    <t>AD (ha/year)</t>
  </si>
  <si>
    <t>Emissions (tCO2/year)</t>
  </si>
  <si>
    <t>Total emission reductions (tCO2)</t>
  </si>
  <si>
    <t>Total Emissions / ERs tCO2</t>
  </si>
  <si>
    <t>Total Emissions / ERs per year</t>
  </si>
  <si>
    <t>Emission Reductions (tCO2/year)</t>
  </si>
  <si>
    <t>C1</t>
  </si>
  <si>
    <t>C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</si>
  <si>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</si>
  <si>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</si>
  <si>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</si>
  <si>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</si>
  <si>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</si>
  <si>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</si>
  <si>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</si>
  <si>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</si>
  <si>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</si>
  <si>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</si>
  <si>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</si>
  <si>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</si>
  <si>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</si>
  <si>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</si>
  <si>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</si>
  <si>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</si>
  <si>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</si>
  <si>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</si>
  <si>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</si>
  <si>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Cropland</t>
  </si>
  <si>
    <t>IPCC 2006 V4CH5 table 5.9</t>
  </si>
  <si>
    <t>Tropical Evergreen to Cropland</t>
  </si>
  <si>
    <t>Tropical Deciduous to Cropland</t>
  </si>
  <si>
    <t>tree_carbon_unit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</si>
</sst>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"/>
  </numFmts>
  <fonts count="1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i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theme="7" tint="0.59999389629810485"/>
        <bgColor rgb="FFFEF1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D9EAD3"/>
      </patternFill>
    </fill>
    <fill>
      <patternFill patternType="solid">
        <fgColor theme="0" tint="-0.249977111117893"/>
        <bgColor rgb="FFC9DAF8"/>
      </patternFill>
    </fill>
    <fill>
      <patternFill patternType="solid">
        <fgColor theme="0" tint="-0.249977111117893"/>
        <bgColor rgb="FFFCE5CD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84">
    <xf numFmtId="0" fontId="0" fillId="0" borderId="0" xfId="0"/>
    <xf numFmtId="164" fontId="1" fillId="2" borderId="0" xfId="0" applyNumberFormat="1" applyFont="1" applyFill="1"/>
    <xf numFmtId="0" fontId="2" fillId="2" borderId="0" xfId="0" applyFont="1" applyFill="1"/>
    <xf numFmtId="0" fontId="2" fillId="0" borderId="0" xfId="0" applyFont="1"/>
    <xf numFmtId="164" fontId="2" fillId="2" borderId="0" xfId="0" applyNumberFormat="1" applyFont="1" applyFill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165" fontId="3" fillId="0" borderId="1" xfId="0" applyNumberFormat="1" applyFont="1" applyBorder="1"/>
    <xf numFmtId="165" fontId="2" fillId="0" borderId="0" xfId="0" applyNumberFormat="1" applyFont="1"/>
    <xf numFmtId="0" fontId="4" fillId="4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right"/>
    </xf>
    <xf numFmtId="2" fontId="2" fillId="0" borderId="0" xfId="0" applyNumberFormat="1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/>
    <xf numFmtId="165" fontId="5" fillId="0" borderId="0" xfId="0" applyNumberFormat="1" applyFont="1"/>
    <xf numFmtId="164" fontId="1" fillId="2" borderId="3" xfId="0" applyNumberFormat="1" applyFont="1" applyFill="1" applyBorder="1"/>
    <xf numFmtId="164" fontId="2" fillId="0" borderId="0" xfId="0" applyNumberFormat="1" applyFont="1"/>
    <xf numFmtId="164" fontId="1" fillId="6" borderId="0" xfId="0" applyNumberFormat="1" applyFont="1" applyFill="1"/>
    <xf numFmtId="0" fontId="1" fillId="6" borderId="0" xfId="0" applyFont="1" applyFill="1"/>
    <xf numFmtId="164" fontId="1" fillId="0" borderId="0" xfId="0" applyNumberFormat="1" applyFont="1"/>
    <xf numFmtId="0" fontId="1" fillId="0" borderId="0" xfId="0" applyFont="1"/>
    <xf numFmtId="0" fontId="3" fillId="0" borderId="0" xfId="0" applyFont="1"/>
    <xf numFmtId="1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right"/>
    </xf>
    <xf numFmtId="1" fontId="2" fillId="5" borderId="1" xfId="0" applyNumberFormat="1" applyFont="1" applyFill="1" applyBorder="1" applyAlignment="1">
      <alignment horizontal="right"/>
    </xf>
    <xf numFmtId="1" fontId="2" fillId="0" borderId="0" xfId="0" applyNumberFormat="1" applyFont="1"/>
    <xf numFmtId="164" fontId="2" fillId="2" borderId="3" xfId="0" applyNumberFormat="1" applyFont="1" applyFill="1" applyBorder="1"/>
    <xf numFmtId="0" fontId="2" fillId="0" borderId="0" xfId="0" applyFont="1" applyAlignment="1">
      <alignment horizontal="right"/>
    </xf>
    <xf numFmtId="165" fontId="2" fillId="2" borderId="0" xfId="0" applyNumberFormat="1" applyFont="1" applyFill="1"/>
    <xf numFmtId="1" fontId="2" fillId="0" borderId="2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4" borderId="0" xfId="0" applyNumberFormat="1" applyFont="1" applyFill="1" applyAlignment="1">
      <alignment horizontal="center"/>
    </xf>
    <xf numFmtId="165" fontId="2" fillId="5" borderId="0" xfId="0" applyNumberFormat="1" applyFont="1" applyFill="1" applyAlignment="1">
      <alignment horizontal="center"/>
    </xf>
    <xf numFmtId="165" fontId="2" fillId="0" borderId="1" xfId="0" applyNumberFormat="1" applyFont="1" applyBorder="1" applyAlignment="1">
      <alignment wrapText="1"/>
    </xf>
    <xf numFmtId="165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4" fontId="2" fillId="4" borderId="4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2" fillId="0" borderId="4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/>
    <xf numFmtId="0" fontId="13" fillId="0" borderId="0" xfId="0" applyFont="1"/>
    <xf numFmtId="0" fontId="12" fillId="7" borderId="4" xfId="0" applyFont="1" applyFill="1" applyBorder="1"/>
    <xf numFmtId="0" fontId="0" fillId="8" borderId="4" xfId="0" applyFill="1" applyBorder="1"/>
    <xf numFmtId="0" fontId="3" fillId="8" borderId="4" xfId="0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" fontId="3" fillId="0" borderId="1" xfId="0" applyNumberFormat="1" applyFont="1" applyBorder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165" fontId="1" fillId="0" borderId="11" xfId="0" applyNumberFormat="1" applyFont="1" applyBorder="1" applyAlignment="1">
      <alignment horizontal="center" vertical="center" wrapText="1"/>
    </xf>
    <xf numFmtId="165" fontId="1" fillId="0" borderId="12" xfId="0" applyNumberFormat="1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165" fontId="1" fillId="0" borderId="19" xfId="0" applyNumberFormat="1" applyFont="1" applyBorder="1" applyAlignment="1">
      <alignment horizontal="center" vertical="center" wrapText="1"/>
    </xf>
    <xf numFmtId="165" fontId="1" fillId="0" borderId="20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5" fontId="2" fillId="3" borderId="21" xfId="0" applyNumberFormat="1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164" fontId="2" fillId="8" borderId="4" xfId="0" applyNumberFormat="1" applyFont="1" applyFill="1" applyBorder="1" applyAlignment="1">
      <alignment horizontal="center"/>
    </xf>
    <xf numFmtId="0" fontId="3" fillId="8" borderId="0" xfId="0" applyFont="1" applyFill="1"/>
    <xf numFmtId="0" fontId="16" fillId="8" borderId="4" xfId="0" applyFont="1" applyFill="1" applyBorder="1"/>
    <xf numFmtId="0" fontId="12" fillId="9" borderId="0" xfId="0" applyFont="1" applyFill="1"/>
    <xf numFmtId="0" fontId="3" fillId="9" borderId="0" xfId="0" applyFont="1" applyFill="1"/>
    <xf numFmtId="165" fontId="2" fillId="9" borderId="4" xfId="0" applyNumberFormat="1" applyFont="1" applyFill="1" applyBorder="1" applyAlignment="1">
      <alignment horizontal="right"/>
    </xf>
    <xf numFmtId="164" fontId="2" fillId="9" borderId="4" xfId="0" applyNumberFormat="1" applyFont="1" applyFill="1" applyBorder="1" applyAlignment="1">
      <alignment horizontal="right"/>
    </xf>
    <xf numFmtId="164" fontId="2" fillId="10" borderId="1" xfId="0" applyNumberFormat="1" applyFont="1" applyFill="1" applyBorder="1" applyAlignment="1">
      <alignment horizontal="center" wrapText="1"/>
    </xf>
    <xf numFmtId="165" fontId="2" fillId="10" borderId="1" xfId="0" applyNumberFormat="1" applyFont="1" applyFill="1" applyBorder="1" applyAlignment="1">
      <alignment horizontal="center"/>
    </xf>
    <xf numFmtId="164" fontId="2" fillId="11" borderId="1" xfId="0" applyNumberFormat="1" applyFont="1" applyFill="1" applyBorder="1" applyAlignment="1">
      <alignment horizontal="center" wrapText="1"/>
    </xf>
    <xf numFmtId="165" fontId="2" fillId="11" borderId="1" xfId="0" applyNumberFormat="1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right"/>
    </xf>
    <xf numFmtId="1" fontId="2" fillId="10" borderId="1" xfId="0" applyNumberFormat="1" applyFont="1" applyFill="1" applyBorder="1" applyAlignment="1">
      <alignment horizontal="right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65" fontId="2" fillId="11" borderId="1" xfId="0" applyNumberFormat="1" applyFont="1" applyFill="1" applyBorder="1" applyAlignment="1">
      <alignment horizontal="right"/>
    </xf>
    <xf numFmtId="0" fontId="15" fillId="0" borderId="0" xfId="0" applyFont="1"/>
    <xf numFmtId="164" fontId="2" fillId="10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 wrapText="1"/>
    </xf>
    <xf numFmtId="165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1" fillId="10" borderId="1" xfId="0" applyNumberFormat="1" applyFont="1" applyFill="1" applyBorder="1" applyAlignment="1">
      <alignment horizontal="center"/>
    </xf>
    <xf numFmtId="165" fontId="1" fillId="11" borderId="1" xfId="0" applyNumberFormat="1" applyFont="1" applyFill="1" applyBorder="1" applyAlignment="1">
      <alignment horizontal="center"/>
    </xf>
    <xf numFmtId="164" fontId="17" fillId="10" borderId="1" xfId="0" applyNumberFormat="1" applyFont="1" applyFill="1" applyBorder="1" applyAlignment="1">
      <alignment horizontal="center"/>
    </xf>
    <xf numFmtId="43" fontId="2" fillId="0" borderId="1" xfId="1" applyFont="1" applyBorder="1" applyAlignment="1">
      <alignment horizontal="right"/>
    </xf>
    <xf numFmtId="43" fontId="2" fillId="0" borderId="1" xfId="1" applyFont="1" applyBorder="1" applyAlignment="1">
      <alignment horizontal="center"/>
    </xf>
    <xf numFmtId="43" fontId="2" fillId="10" borderId="1" xfId="1" applyFont="1" applyFill="1" applyBorder="1" applyAlignment="1">
      <alignment horizontal="right"/>
    </xf>
    <xf numFmtId="43" fontId="2" fillId="11" borderId="1" xfId="1" applyFont="1" applyFill="1" applyBorder="1" applyAlignment="1">
      <alignment horizontal="center"/>
    </xf>
    <xf numFmtId="43" fontId="0" fillId="0" borderId="0" xfId="1" applyFont="1"/>
    <xf numFmtId="0" fontId="0" fillId="8" borderId="0" xfId="0" applyFill="1"/>
    <xf numFmtId="0" fontId="15" fillId="10" borderId="0" xfId="0" applyFont="1" applyFill="1"/>
    <xf numFmtId="43" fontId="0" fillId="10" borderId="0" xfId="1" applyFont="1" applyFill="1"/>
    <xf numFmtId="0" fontId="15" fillId="11" borderId="0" xfId="0" applyFont="1" applyFill="1"/>
    <xf numFmtId="43" fontId="0" fillId="11" borderId="0" xfId="1" applyFont="1" applyFill="1"/>
    <xf numFmtId="43" fontId="2" fillId="3" borderId="0" xfId="1" applyFont="1" applyFill="1" applyAlignment="1">
      <alignment horizontal="center"/>
    </xf>
    <xf numFmtId="43" fontId="2" fillId="4" borderId="0" xfId="1" applyFont="1" applyFill="1" applyAlignment="1">
      <alignment horizontal="center"/>
    </xf>
    <xf numFmtId="43" fontId="2" fillId="5" borderId="0" xfId="1" applyFont="1" applyFill="1" applyAlignment="1">
      <alignment horizontal="center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2" fontId="2" fillId="10" borderId="1" xfId="0" applyNumberFormat="1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center"/>
    </xf>
    <xf numFmtId="164" fontId="18" fillId="2" borderId="0" xfId="0" applyNumberFormat="1" applyFont="1" applyFill="1"/>
    <xf numFmtId="164" fontId="5" fillId="2" borderId="0" xfId="0" applyNumberFormat="1" applyFont="1" applyFill="1"/>
    <xf numFmtId="0" fontId="5" fillId="2" borderId="0" xfId="0" applyFont="1" applyFill="1"/>
    <xf numFmtId="164" fontId="5" fillId="12" borderId="1" xfId="0" applyNumberFormat="1" applyFont="1" applyFill="1" applyBorder="1" applyAlignment="1">
      <alignment horizontal="center" wrapText="1"/>
    </xf>
    <xf numFmtId="165" fontId="5" fillId="12" borderId="1" xfId="0" applyNumberFormat="1" applyFont="1" applyFill="1" applyBorder="1" applyAlignment="1">
      <alignment horizontal="center"/>
    </xf>
    <xf numFmtId="164" fontId="5" fillId="13" borderId="1" xfId="0" applyNumberFormat="1" applyFont="1" applyFill="1" applyBorder="1" applyAlignment="1">
      <alignment horizontal="center"/>
    </xf>
    <xf numFmtId="1" fontId="5" fillId="12" borderId="1" xfId="0" applyNumberFormat="1" applyFont="1" applyFill="1" applyBorder="1" applyAlignment="1">
      <alignment horizontal="right"/>
    </xf>
    <xf numFmtId="164" fontId="5" fillId="14" borderId="1" xfId="0" applyNumberFormat="1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43" fontId="2" fillId="0" borderId="7" xfId="1" applyFont="1" applyBorder="1" applyAlignment="1">
      <alignment horizontal="right"/>
    </xf>
    <xf numFmtId="43" fontId="2" fillId="0" borderId="14" xfId="1" applyFont="1" applyBorder="1" applyAlignment="1">
      <alignment horizontal="center"/>
    </xf>
    <xf numFmtId="43" fontId="0" fillId="0" borderId="8" xfId="1" applyFont="1" applyBorder="1"/>
    <xf numFmtId="43" fontId="0" fillId="0" borderId="14" xfId="1" applyFont="1" applyBorder="1"/>
    <xf numFmtId="43" fontId="2" fillId="0" borderId="27" xfId="1" applyFont="1" applyBorder="1" applyAlignment="1">
      <alignment horizontal="right"/>
    </xf>
    <xf numFmtId="43" fontId="2" fillId="0" borderId="25" xfId="1" applyFont="1" applyBorder="1" applyAlignment="1">
      <alignment horizontal="center"/>
    </xf>
    <xf numFmtId="43" fontId="0" fillId="0" borderId="19" xfId="1" applyFont="1" applyBorder="1"/>
    <xf numFmtId="43" fontId="0" fillId="0" borderId="20" xfId="1" applyFont="1" applyBorder="1"/>
    <xf numFmtId="43" fontId="0" fillId="0" borderId="4" xfId="1" applyFont="1" applyBorder="1"/>
    <xf numFmtId="43" fontId="0" fillId="0" borderId="28" xfId="1" applyFont="1" applyBorder="1"/>
    <xf numFmtId="0" fontId="15" fillId="0" borderId="0" xfId="0" applyFont="1" applyAlignment="1">
      <alignment horizontal="right"/>
    </xf>
    <xf numFmtId="43" fontId="15" fillId="0" borderId="26" xfId="1" applyFont="1" applyBorder="1" applyAlignment="1">
      <alignment horizontal="center"/>
    </xf>
    <xf numFmtId="43" fontId="15" fillId="0" borderId="4" xfId="1" applyFont="1" applyBorder="1" applyAlignment="1"/>
    <xf numFmtId="43" fontId="2" fillId="0" borderId="8" xfId="1" applyFont="1" applyBorder="1" applyAlignment="1">
      <alignment horizontal="right"/>
    </xf>
    <xf numFmtId="43" fontId="2" fillId="0" borderId="28" xfId="1" applyFont="1" applyBorder="1" applyAlignment="1">
      <alignment horizontal="right"/>
    </xf>
    <xf numFmtId="43" fontId="0" fillId="0" borderId="29" xfId="1" applyFont="1" applyBorder="1"/>
    <xf numFmtId="43" fontId="0" fillId="0" borderId="7" xfId="1" applyFont="1" applyBorder="1" applyAlignment="1"/>
    <xf numFmtId="0" fontId="15" fillId="0" borderId="7" xfId="0" applyFont="1" applyBorder="1"/>
    <xf numFmtId="0" fontId="15" fillId="0" borderId="14" xfId="0" applyFont="1" applyBorder="1"/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43" fontId="0" fillId="0" borderId="11" xfId="1" applyFont="1" applyBorder="1" applyAlignment="1"/>
    <xf numFmtId="43" fontId="0" fillId="11" borderId="22" xfId="1" applyFont="1" applyFill="1" applyBorder="1"/>
    <xf numFmtId="43" fontId="0" fillId="11" borderId="23" xfId="1" applyFont="1" applyFill="1" applyBorder="1"/>
    <xf numFmtId="43" fontId="0" fillId="11" borderId="25" xfId="1" applyFont="1" applyFill="1" applyBorder="1"/>
    <xf numFmtId="43" fontId="0" fillId="10" borderId="27" xfId="1" applyFont="1" applyFill="1" applyBorder="1"/>
    <xf numFmtId="43" fontId="0" fillId="10" borderId="24" xfId="1" applyFont="1" applyFill="1" applyBorder="1"/>
    <xf numFmtId="0" fontId="15" fillId="0" borderId="4" xfId="0" applyFont="1" applyBorder="1" applyAlignment="1">
      <alignment horizontal="right"/>
    </xf>
    <xf numFmtId="165" fontId="1" fillId="0" borderId="13" xfId="0" applyNumberFormat="1" applyFont="1" applyBorder="1" applyAlignment="1">
      <alignment horizontal="center" vertical="center" wrapText="1"/>
    </xf>
    <xf numFmtId="165" fontId="1" fillId="0" borderId="18" xfId="0" applyNumberFormat="1" applyFont="1" applyBorder="1" applyAlignment="1">
      <alignment horizontal="center" vertical="center" wrapText="1"/>
    </xf>
    <xf numFmtId="165" fontId="1" fillId="0" borderId="15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43" fontId="15" fillId="0" borderId="4" xfId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38</xdr:row>
      <xdr:rowOff>38243</xdr:rowOff>
    </xdr:from>
    <xdr:to>
      <xdr:col>10</xdr:col>
      <xdr:colOff>965200</xdr:colOff>
      <xdr:row>42</xdr:row>
      <xdr:rowOff>157515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E3B64B-03D5-33C1-521F-12E390434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8800" y="7937643"/>
          <a:ext cx="5537200" cy="88127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12700</xdr:rowOff>
    </xdr:from>
    <xdr:to>
      <xdr:col>11</xdr:col>
      <xdr:colOff>54741</xdr:colOff>
      <xdr:row>49</xdr:row>
      <xdr:rowOff>28326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5E6D69-CB18-18B4-D34C-F77E2F367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6100" y="8864600"/>
          <a:ext cx="5617341" cy="1158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90"/>
  <sheetViews>
    <sheetView topLeftCell="A2" workbookViewId="0">
      <selection activeCell="H20" sqref="H20"/>
    </sheetView>
  </sheetViews>
  <sheetFormatPr baseColWidth="10" defaultColWidth="14.5" defaultRowHeight="15" customHeight="1" x14ac:dyDescent="0.2"/>
  <cols>
    <col min="1" max="4" width="8.6640625" customWidth="1"/>
    <col min="5" max="6" width="13.5" customWidth="1"/>
    <col min="7" max="7" width="8.6640625" customWidth="1"/>
    <col min="8" max="8" width="26.33203125" customWidth="1"/>
    <col min="9" max="11" width="10.6640625" customWidth="1"/>
    <col min="12" max="12" width="22.83203125" customWidth="1"/>
    <col min="13" max="13" width="13.33203125" customWidth="1"/>
    <col min="14" max="14" width="11.33203125" customWidth="1"/>
    <col min="15" max="15" width="15.6640625" customWidth="1"/>
    <col min="16" max="16" width="8.83203125" customWidth="1"/>
    <col min="17" max="17" width="11.6640625" customWidth="1"/>
    <col min="18" max="18" width="17.83203125" customWidth="1"/>
    <col min="19" max="19" width="13.83203125" customWidth="1"/>
    <col min="20" max="20" width="14.6640625" customWidth="1"/>
    <col min="21" max="33" width="8.6640625" customWidth="1"/>
  </cols>
  <sheetData>
    <row r="1" spans="1:33" ht="16" thickBot="1" x14ac:dyDescent="0.25">
      <c r="A1" s="1" t="s">
        <v>0</v>
      </c>
      <c r="B1" s="2"/>
      <c r="C1" s="2"/>
      <c r="D1" s="2"/>
      <c r="E1" s="2"/>
      <c r="F1" s="2"/>
      <c r="G1" s="3"/>
      <c r="H1" s="1" t="s">
        <v>303</v>
      </c>
      <c r="I1" s="4"/>
      <c r="J1" s="4"/>
      <c r="K1" s="4"/>
      <c r="L1" s="4"/>
      <c r="M1" s="4"/>
      <c r="N1" s="4"/>
      <c r="O1" s="4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49" thickBot="1" x14ac:dyDescent="0.25">
      <c r="A2" s="68" t="s">
        <v>1</v>
      </c>
      <c r="B2" s="69" t="s">
        <v>2</v>
      </c>
      <c r="C2" s="69" t="s">
        <v>3</v>
      </c>
      <c r="D2" s="69" t="s">
        <v>304</v>
      </c>
      <c r="E2" s="70" t="s">
        <v>305</v>
      </c>
      <c r="F2" s="70" t="s">
        <v>306</v>
      </c>
      <c r="G2" s="3"/>
      <c r="H2" s="52" t="s">
        <v>4</v>
      </c>
      <c r="I2" s="52" t="s">
        <v>5</v>
      </c>
      <c r="J2" s="52" t="s">
        <v>6</v>
      </c>
      <c r="K2" s="52" t="s">
        <v>7</v>
      </c>
      <c r="L2" s="52" t="s">
        <v>8</v>
      </c>
      <c r="M2" s="111" t="s">
        <v>9</v>
      </c>
      <c r="N2" s="52" t="s">
        <v>10</v>
      </c>
      <c r="O2" s="52" t="s">
        <v>11</v>
      </c>
      <c r="P2" s="52" t="s">
        <v>12</v>
      </c>
      <c r="Q2" s="112" t="s">
        <v>13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2">
      <c r="A3" s="71" t="s">
        <v>14</v>
      </c>
      <c r="B3" s="72" t="s">
        <v>15</v>
      </c>
      <c r="C3" s="72" t="s">
        <v>16</v>
      </c>
      <c r="D3" s="72" t="s">
        <v>16</v>
      </c>
      <c r="E3" s="72">
        <f>IF(B3=C3,0,1)</f>
        <v>1</v>
      </c>
      <c r="F3" s="72">
        <f>IF(C3=D3,0,1)</f>
        <v>0</v>
      </c>
      <c r="G3" s="3"/>
      <c r="H3" s="5" t="s">
        <v>307</v>
      </c>
      <c r="I3" s="6">
        <f>COUNT(E3:E122)</f>
        <v>120</v>
      </c>
      <c r="J3" s="7">
        <f>(COUNTIF(E3:E122, 1)/COUNT(E3:E122))</f>
        <v>8.3333333333333329E-2</v>
      </c>
      <c r="K3" s="8">
        <v>6000</v>
      </c>
      <c r="L3" s="9">
        <f>+J3*(1-J3)</f>
        <v>7.6388888888888881E-2</v>
      </c>
      <c r="M3" s="110">
        <f>+J3*K3</f>
        <v>500</v>
      </c>
      <c r="N3" s="73">
        <f>L3*((K3)^2)</f>
        <v>2749999.9999999995</v>
      </c>
      <c r="O3" s="12">
        <f>+SQRT(N3)</f>
        <v>1658.3123951776997</v>
      </c>
      <c r="P3" s="10">
        <f>+O3/SQRT(I3-1)</f>
        <v>152.01724802626507</v>
      </c>
      <c r="Q3" s="113">
        <f>((1.96*P3)/M3)*100</f>
        <v>59.590761226295896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2">
      <c r="A4" s="74" t="s">
        <v>18</v>
      </c>
      <c r="B4" s="75" t="s">
        <v>15</v>
      </c>
      <c r="C4" s="75" t="s">
        <v>15</v>
      </c>
      <c r="D4" s="75" t="s">
        <v>15</v>
      </c>
      <c r="E4" s="75">
        <f t="shared" ref="E4:F67" si="0">IF(B4=C4,0,1)</f>
        <v>0</v>
      </c>
      <c r="F4" s="75">
        <f t="shared" si="0"/>
        <v>0</v>
      </c>
      <c r="G4" s="3"/>
      <c r="H4" s="13" t="s">
        <v>308</v>
      </c>
      <c r="I4" s="6">
        <f>COUNT(E123:E202)</f>
        <v>80</v>
      </c>
      <c r="J4" s="10">
        <f>(COUNTIF(E123:E202, 1)/COUNT(E123:E202))</f>
        <v>0.1</v>
      </c>
      <c r="K4" s="8">
        <v>4000</v>
      </c>
      <c r="L4" s="9">
        <f>+J4*(1-J4)</f>
        <v>9.0000000000000011E-2</v>
      </c>
      <c r="M4" s="110">
        <f>+K4*J4</f>
        <v>400</v>
      </c>
      <c r="N4" s="15">
        <f>L4*((K4)^2)</f>
        <v>1440000.0000000002</v>
      </c>
      <c r="O4" s="10">
        <f t="shared" ref="O4" si="1">+SQRT(N4)</f>
        <v>1200</v>
      </c>
      <c r="P4" s="10">
        <f>+O4/SQRT(I4-1)</f>
        <v>135.01054811112286</v>
      </c>
      <c r="Q4" s="113">
        <f t="shared" ref="Q4" si="2">((1.96*P4)/M4)*100</f>
        <v>66.155168574450201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2">
      <c r="A5" s="74" t="s">
        <v>20</v>
      </c>
      <c r="B5" s="75" t="s">
        <v>15</v>
      </c>
      <c r="C5" s="75" t="s">
        <v>15</v>
      </c>
      <c r="D5" s="75" t="s">
        <v>15</v>
      </c>
      <c r="E5" s="75">
        <f t="shared" si="0"/>
        <v>0</v>
      </c>
      <c r="F5" s="75">
        <f t="shared" si="0"/>
        <v>0</v>
      </c>
      <c r="G5" s="3"/>
      <c r="H5" s="14"/>
      <c r="I5" s="6"/>
      <c r="J5" s="10"/>
      <c r="K5" s="8"/>
      <c r="L5" s="9"/>
      <c r="M5" s="110"/>
      <c r="N5" s="10"/>
      <c r="O5" s="10"/>
      <c r="P5" s="10"/>
      <c r="Q5" s="113"/>
      <c r="R5" s="12"/>
      <c r="S5" s="12"/>
      <c r="T5" s="1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2">
      <c r="A6" s="74" t="s">
        <v>22</v>
      </c>
      <c r="B6" s="75" t="s">
        <v>15</v>
      </c>
      <c r="C6" s="75" t="s">
        <v>15</v>
      </c>
      <c r="D6" s="75" t="s">
        <v>16</v>
      </c>
      <c r="E6" s="75">
        <f t="shared" si="0"/>
        <v>0</v>
      </c>
      <c r="F6" s="75">
        <f t="shared" si="0"/>
        <v>1</v>
      </c>
      <c r="G6" s="3"/>
      <c r="H6" s="3"/>
      <c r="I6" s="3"/>
      <c r="J6" s="3"/>
      <c r="K6" s="3"/>
      <c r="L6" s="3"/>
      <c r="M6" s="3"/>
      <c r="N6" s="12"/>
      <c r="O6" s="12"/>
      <c r="P6" s="3"/>
      <c r="Q6" s="16"/>
      <c r="R6" s="12"/>
      <c r="S6" s="12"/>
      <c r="T6" s="12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">
      <c r="A7" s="74" t="s">
        <v>23</v>
      </c>
      <c r="B7" s="75" t="s">
        <v>15</v>
      </c>
      <c r="C7" s="75" t="s">
        <v>15</v>
      </c>
      <c r="D7" s="75" t="s">
        <v>15</v>
      </c>
      <c r="E7" s="75">
        <f t="shared" si="0"/>
        <v>0</v>
      </c>
      <c r="F7" s="75">
        <f t="shared" si="0"/>
        <v>0</v>
      </c>
      <c r="G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">
      <c r="A8" s="74" t="s">
        <v>26</v>
      </c>
      <c r="B8" s="75" t="s">
        <v>15</v>
      </c>
      <c r="C8" s="75" t="s">
        <v>15</v>
      </c>
      <c r="D8" s="75" t="s">
        <v>15</v>
      </c>
      <c r="E8" s="75">
        <f t="shared" si="0"/>
        <v>0</v>
      </c>
      <c r="F8" s="75">
        <f t="shared" si="0"/>
        <v>0</v>
      </c>
      <c r="G8" s="3"/>
      <c r="H8" s="1" t="s">
        <v>309</v>
      </c>
      <c r="I8" s="4"/>
      <c r="J8" s="4"/>
      <c r="K8" s="4"/>
      <c r="L8" s="4"/>
      <c r="M8" s="4"/>
      <c r="N8" s="4"/>
      <c r="O8" s="4"/>
      <c r="P8" s="2"/>
      <c r="Q8" s="2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48" x14ac:dyDescent="0.2">
      <c r="A9" s="74" t="s">
        <v>29</v>
      </c>
      <c r="B9" s="75" t="s">
        <v>15</v>
      </c>
      <c r="C9" s="75" t="s">
        <v>16</v>
      </c>
      <c r="D9" s="75" t="s">
        <v>16</v>
      </c>
      <c r="E9" s="75">
        <f t="shared" si="0"/>
        <v>1</v>
      </c>
      <c r="F9" s="75">
        <f t="shared" si="0"/>
        <v>0</v>
      </c>
      <c r="G9" s="3"/>
      <c r="H9" s="52" t="s">
        <v>4</v>
      </c>
      <c r="I9" s="52" t="s">
        <v>5</v>
      </c>
      <c r="J9" s="52" t="s">
        <v>6</v>
      </c>
      <c r="K9" s="52" t="s">
        <v>7</v>
      </c>
      <c r="L9" s="52" t="s">
        <v>8</v>
      </c>
      <c r="M9" s="111" t="s">
        <v>9</v>
      </c>
      <c r="N9" s="52" t="s">
        <v>10</v>
      </c>
      <c r="O9" s="52" t="s">
        <v>11</v>
      </c>
      <c r="P9" s="52" t="s">
        <v>12</v>
      </c>
      <c r="Q9" s="112" t="s">
        <v>13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74" t="s">
        <v>32</v>
      </c>
      <c r="B10" s="75" t="s">
        <v>15</v>
      </c>
      <c r="C10" s="75" t="s">
        <v>15</v>
      </c>
      <c r="D10" s="75" t="s">
        <v>15</v>
      </c>
      <c r="E10" s="75">
        <f t="shared" si="0"/>
        <v>0</v>
      </c>
      <c r="F10" s="75">
        <f t="shared" si="0"/>
        <v>0</v>
      </c>
      <c r="G10" s="3"/>
      <c r="H10" s="5" t="s">
        <v>307</v>
      </c>
      <c r="I10" s="6">
        <f>COUNT(F3:F122)</f>
        <v>120</v>
      </c>
      <c r="J10" s="7">
        <f>(COUNTIF(F3:F122, 1)/COUNT(F3:F122))</f>
        <v>5.8333333333333334E-2</v>
      </c>
      <c r="K10" s="8">
        <v>6000</v>
      </c>
      <c r="L10" s="9">
        <f>+J10*(1-J10)</f>
        <v>5.4930555555555559E-2</v>
      </c>
      <c r="M10" s="110">
        <f>+J10*K10</f>
        <v>350</v>
      </c>
      <c r="N10" s="11">
        <f>L10*((K10)^2)</f>
        <v>1977500.0000000002</v>
      </c>
      <c r="O10" s="12">
        <f>+SQRT(N10)</f>
        <v>1406.2361110425234</v>
      </c>
      <c r="P10" s="10">
        <f>+O10/SQRT(I10-1)</f>
        <v>128.90945294594781</v>
      </c>
      <c r="Q10" s="113">
        <f>((1.96*P10)/M10)*100</f>
        <v>72.189293649730786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2">
      <c r="A11" s="74" t="s">
        <v>34</v>
      </c>
      <c r="B11" s="75" t="s">
        <v>15</v>
      </c>
      <c r="C11" s="75" t="s">
        <v>15</v>
      </c>
      <c r="D11" s="75" t="s">
        <v>15</v>
      </c>
      <c r="E11" s="75">
        <f t="shared" si="0"/>
        <v>0</v>
      </c>
      <c r="F11" s="75">
        <f t="shared" si="0"/>
        <v>0</v>
      </c>
      <c r="G11" s="3"/>
      <c r="H11" s="13" t="s">
        <v>308</v>
      </c>
      <c r="I11" s="6">
        <f>COUNT(F123:F202)</f>
        <v>80</v>
      </c>
      <c r="J11" s="10">
        <f>(COUNTIF(F123:F202, 1)/COUNT(F123:F202))</f>
        <v>0.05</v>
      </c>
      <c r="K11" s="8">
        <v>4000</v>
      </c>
      <c r="L11" s="9">
        <f>+J11*(1-J11)</f>
        <v>4.7500000000000001E-2</v>
      </c>
      <c r="M11" s="110">
        <f>+K11*J11</f>
        <v>200</v>
      </c>
      <c r="N11" s="10">
        <f>L11*((K11)^2)</f>
        <v>760000</v>
      </c>
      <c r="O11" s="10">
        <f t="shared" ref="O11" si="3">+SQRT(N11)</f>
        <v>871.77978870813467</v>
      </c>
      <c r="P11" s="10">
        <f>+O11/SQRT(I11-1)</f>
        <v>98.082889254736784</v>
      </c>
      <c r="Q11" s="113">
        <f t="shared" ref="Q11" si="4">((1.96*P11)/M11)*100</f>
        <v>96.121231469642041</v>
      </c>
      <c r="R11" s="3"/>
      <c r="S11" s="12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A12" s="74" t="s">
        <v>35</v>
      </c>
      <c r="B12" s="75" t="s">
        <v>15</v>
      </c>
      <c r="C12" s="75" t="s">
        <v>15</v>
      </c>
      <c r="D12" s="75" t="s">
        <v>15</v>
      </c>
      <c r="E12" s="75">
        <f t="shared" si="0"/>
        <v>0</v>
      </c>
      <c r="F12" s="75">
        <f t="shared" si="0"/>
        <v>0</v>
      </c>
      <c r="G12" s="3"/>
      <c r="H12" s="14"/>
      <c r="I12" s="6"/>
      <c r="J12" s="10"/>
      <c r="K12" s="8"/>
      <c r="L12" s="9"/>
      <c r="M12" s="110"/>
      <c r="N12" s="10"/>
      <c r="O12" s="10"/>
      <c r="P12" s="10"/>
      <c r="Q12" s="113"/>
      <c r="R12" s="3"/>
      <c r="S12" s="12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2">
      <c r="A13" s="74" t="s">
        <v>36</v>
      </c>
      <c r="B13" s="75" t="s">
        <v>15</v>
      </c>
      <c r="C13" s="75" t="s">
        <v>15</v>
      </c>
      <c r="D13" s="75" t="s">
        <v>16</v>
      </c>
      <c r="E13" s="75">
        <f t="shared" si="0"/>
        <v>0</v>
      </c>
      <c r="F13" s="75">
        <f t="shared" si="0"/>
        <v>1</v>
      </c>
      <c r="G13" s="3"/>
      <c r="H13" s="3"/>
      <c r="I13" s="3"/>
      <c r="J13" s="3"/>
      <c r="K13" s="16"/>
      <c r="L13" s="3"/>
      <c r="M13" s="3"/>
      <c r="N13" s="3"/>
      <c r="O13" s="3"/>
      <c r="P13" s="3"/>
      <c r="Q13" s="3"/>
      <c r="R13" s="3"/>
      <c r="S13" s="12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74" t="s">
        <v>37</v>
      </c>
      <c r="B14" s="75" t="s">
        <v>15</v>
      </c>
      <c r="C14" s="75" t="s">
        <v>15</v>
      </c>
      <c r="D14" s="75" t="s">
        <v>16</v>
      </c>
      <c r="E14" s="75">
        <f t="shared" si="0"/>
        <v>0</v>
      </c>
      <c r="F14" s="75">
        <f t="shared" si="0"/>
        <v>1</v>
      </c>
      <c r="G14" s="3"/>
      <c r="H14" s="3"/>
      <c r="I14" s="3"/>
      <c r="J14" s="3"/>
      <c r="K14" s="16"/>
      <c r="L14" s="3"/>
      <c r="M14" s="3"/>
      <c r="N14" s="3"/>
      <c r="O14" s="3"/>
      <c r="P14" s="3"/>
      <c r="Q14" s="3"/>
      <c r="R14" s="3"/>
      <c r="S14" s="12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74" t="s">
        <v>38</v>
      </c>
      <c r="B15" s="75" t="s">
        <v>15</v>
      </c>
      <c r="C15" s="75" t="s">
        <v>15</v>
      </c>
      <c r="D15" s="75" t="s">
        <v>15</v>
      </c>
      <c r="E15" s="75">
        <f t="shared" si="0"/>
        <v>0</v>
      </c>
      <c r="F15" s="75">
        <f t="shared" si="0"/>
        <v>0</v>
      </c>
      <c r="G15" s="3"/>
      <c r="H15" s="17" t="s">
        <v>24</v>
      </c>
      <c r="I15" s="3"/>
      <c r="J15" s="18" t="s">
        <v>25</v>
      </c>
      <c r="K15" s="2"/>
      <c r="L15" s="3"/>
      <c r="M15" s="3"/>
      <c r="N15" s="3"/>
      <c r="O15" s="3"/>
      <c r="P15" s="3"/>
      <c r="Q15" s="3"/>
      <c r="R15" s="3"/>
      <c r="S15" s="12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74" t="s">
        <v>39</v>
      </c>
      <c r="B16" s="75" t="s">
        <v>15</v>
      </c>
      <c r="C16" s="75" t="s">
        <v>15</v>
      </c>
      <c r="D16" s="75" t="s">
        <v>15</v>
      </c>
      <c r="E16" s="75">
        <f t="shared" si="0"/>
        <v>0</v>
      </c>
      <c r="F16" s="75">
        <f t="shared" si="0"/>
        <v>0</v>
      </c>
      <c r="G16" s="3"/>
      <c r="H16" s="19" t="s">
        <v>27</v>
      </c>
      <c r="I16" s="3"/>
      <c r="J16" s="3" t="s">
        <v>28</v>
      </c>
      <c r="K16" s="3">
        <v>0</v>
      </c>
      <c r="L16" s="3"/>
      <c r="M16" s="3"/>
      <c r="N16" s="3"/>
      <c r="O16" s="3"/>
      <c r="P16" s="3"/>
      <c r="Q16" s="3"/>
      <c r="R16" s="3"/>
      <c r="S16" s="12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74" t="s">
        <v>40</v>
      </c>
      <c r="B17" s="75" t="s">
        <v>15</v>
      </c>
      <c r="C17" s="75" t="s">
        <v>15</v>
      </c>
      <c r="D17" s="75" t="s">
        <v>15</v>
      </c>
      <c r="E17" s="75">
        <f t="shared" si="0"/>
        <v>0</v>
      </c>
      <c r="F17" s="75">
        <f t="shared" si="0"/>
        <v>0</v>
      </c>
      <c r="G17" s="3"/>
      <c r="H17" s="20" t="s">
        <v>30</v>
      </c>
      <c r="I17" s="3"/>
      <c r="J17" s="3" t="s">
        <v>31</v>
      </c>
      <c r="K17" s="3">
        <v>1</v>
      </c>
      <c r="L17" s="3"/>
      <c r="M17" s="3"/>
      <c r="N17" s="3"/>
      <c r="O17" s="3"/>
      <c r="P17" s="3"/>
      <c r="Q17" s="3"/>
      <c r="R17" s="3"/>
      <c r="S17" s="1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74" t="s">
        <v>41</v>
      </c>
      <c r="B18" s="75" t="s">
        <v>15</v>
      </c>
      <c r="C18" s="75" t="s">
        <v>16</v>
      </c>
      <c r="D18" s="75" t="s">
        <v>16</v>
      </c>
      <c r="E18" s="75">
        <f t="shared" si="0"/>
        <v>1</v>
      </c>
      <c r="F18" s="75">
        <f t="shared" si="0"/>
        <v>0</v>
      </c>
      <c r="G18" s="3"/>
      <c r="H18" s="21" t="s">
        <v>33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12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74" t="s">
        <v>42</v>
      </c>
      <c r="B19" s="75" t="s">
        <v>15</v>
      </c>
      <c r="C19" s="75" t="s">
        <v>15</v>
      </c>
      <c r="D19" s="75" t="s">
        <v>15</v>
      </c>
      <c r="E19" s="75">
        <f t="shared" si="0"/>
        <v>0</v>
      </c>
      <c r="F19" s="75">
        <f t="shared" si="0"/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12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74" t="s">
        <v>43</v>
      </c>
      <c r="B20" s="75" t="s">
        <v>15</v>
      </c>
      <c r="C20" s="75" t="s">
        <v>15</v>
      </c>
      <c r="D20" s="75" t="s">
        <v>15</v>
      </c>
      <c r="E20" s="75">
        <f t="shared" si="0"/>
        <v>0</v>
      </c>
      <c r="F20" s="75">
        <f t="shared" si="0"/>
        <v>0</v>
      </c>
      <c r="G20" s="3"/>
      <c r="L20" s="3"/>
      <c r="M20" s="3"/>
      <c r="N20" s="3"/>
      <c r="O20" s="3"/>
      <c r="P20" s="3"/>
      <c r="Q20" s="3"/>
      <c r="R20" s="3"/>
      <c r="S20" s="12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74" t="s">
        <v>44</v>
      </c>
      <c r="B21" s="75" t="s">
        <v>15</v>
      </c>
      <c r="C21" s="75" t="s">
        <v>15</v>
      </c>
      <c r="D21" s="75" t="s">
        <v>15</v>
      </c>
      <c r="E21" s="75">
        <f t="shared" si="0"/>
        <v>0</v>
      </c>
      <c r="F21" s="75">
        <f t="shared" si="0"/>
        <v>0</v>
      </c>
      <c r="G21" s="3"/>
      <c r="L21" s="3"/>
      <c r="M21" s="3"/>
      <c r="N21" s="3"/>
      <c r="O21" s="3"/>
      <c r="P21" s="3"/>
      <c r="Q21" s="3"/>
      <c r="R21" s="3"/>
      <c r="S21" s="12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74" t="s">
        <v>45</v>
      </c>
      <c r="B22" s="75" t="s">
        <v>15</v>
      </c>
      <c r="C22" s="75" t="s">
        <v>15</v>
      </c>
      <c r="D22" s="75" t="s">
        <v>16</v>
      </c>
      <c r="E22" s="75">
        <f t="shared" si="0"/>
        <v>0</v>
      </c>
      <c r="F22" s="75">
        <f t="shared" si="0"/>
        <v>1</v>
      </c>
      <c r="G22" s="3"/>
      <c r="L22" s="3"/>
      <c r="M22" s="3"/>
      <c r="N22" s="3"/>
      <c r="O22" s="3"/>
      <c r="P22" s="3"/>
      <c r="Q22" s="3"/>
      <c r="R22" s="3"/>
      <c r="S22" s="12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74" t="s">
        <v>46</v>
      </c>
      <c r="B23" s="75" t="s">
        <v>15</v>
      </c>
      <c r="C23" s="75" t="s">
        <v>15</v>
      </c>
      <c r="D23" s="75" t="s">
        <v>15</v>
      </c>
      <c r="E23" s="75">
        <f t="shared" si="0"/>
        <v>0</v>
      </c>
      <c r="F23" s="75">
        <f t="shared" si="0"/>
        <v>0</v>
      </c>
      <c r="G23" s="3"/>
      <c r="L23" s="3"/>
      <c r="M23" s="3"/>
      <c r="N23" s="3"/>
      <c r="O23" s="3"/>
      <c r="P23" s="3"/>
      <c r="Q23" s="3"/>
      <c r="R23" s="3"/>
      <c r="S23" s="12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74" t="s">
        <v>47</v>
      </c>
      <c r="B24" s="75" t="s">
        <v>15</v>
      </c>
      <c r="C24" s="75" t="s">
        <v>15</v>
      </c>
      <c r="D24" s="75" t="s">
        <v>15</v>
      </c>
      <c r="E24" s="75">
        <f t="shared" si="0"/>
        <v>0</v>
      </c>
      <c r="F24" s="75">
        <f t="shared" si="0"/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12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A25" s="74" t="s">
        <v>48</v>
      </c>
      <c r="B25" s="75" t="s">
        <v>15</v>
      </c>
      <c r="C25" s="75" t="s">
        <v>15</v>
      </c>
      <c r="D25" s="75" t="s">
        <v>15</v>
      </c>
      <c r="E25" s="75">
        <f t="shared" si="0"/>
        <v>0</v>
      </c>
      <c r="F25" s="75">
        <f t="shared" si="0"/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12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2">
      <c r="A26" s="74" t="s">
        <v>49</v>
      </c>
      <c r="B26" s="75" t="s">
        <v>15</v>
      </c>
      <c r="C26" s="75" t="s">
        <v>15</v>
      </c>
      <c r="D26" s="75" t="s">
        <v>15</v>
      </c>
      <c r="E26" s="75">
        <f t="shared" si="0"/>
        <v>0</v>
      </c>
      <c r="F26" s="75">
        <f t="shared" si="0"/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12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2">
      <c r="A27" s="74" t="s">
        <v>50</v>
      </c>
      <c r="B27" s="75" t="s">
        <v>15</v>
      </c>
      <c r="C27" s="75" t="s">
        <v>16</v>
      </c>
      <c r="D27" s="75" t="s">
        <v>16</v>
      </c>
      <c r="E27" s="75">
        <f t="shared" si="0"/>
        <v>1</v>
      </c>
      <c r="F27" s="75">
        <f t="shared" si="0"/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12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2">
      <c r="A28" s="74" t="s">
        <v>51</v>
      </c>
      <c r="B28" s="75" t="s">
        <v>15</v>
      </c>
      <c r="C28" s="75" t="s">
        <v>15</v>
      </c>
      <c r="D28" s="75" t="s">
        <v>15</v>
      </c>
      <c r="E28" s="75">
        <f t="shared" si="0"/>
        <v>0</v>
      </c>
      <c r="F28" s="75">
        <f t="shared" si="0"/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2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2">
      <c r="A29" s="74" t="s">
        <v>52</v>
      </c>
      <c r="B29" s="75" t="s">
        <v>15</v>
      </c>
      <c r="C29" s="75" t="s">
        <v>15</v>
      </c>
      <c r="D29" s="75" t="s">
        <v>15</v>
      </c>
      <c r="E29" s="75">
        <f t="shared" si="0"/>
        <v>0</v>
      </c>
      <c r="F29" s="75">
        <f t="shared" si="0"/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12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2">
      <c r="A30" s="74" t="s">
        <v>53</v>
      </c>
      <c r="B30" s="75" t="s">
        <v>15</v>
      </c>
      <c r="C30" s="75" t="s">
        <v>15</v>
      </c>
      <c r="D30" s="75" t="s">
        <v>15</v>
      </c>
      <c r="E30" s="75">
        <f t="shared" si="0"/>
        <v>0</v>
      </c>
      <c r="F30" s="75">
        <f t="shared" si="0"/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12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2">
      <c r="A31" s="74" t="s">
        <v>54</v>
      </c>
      <c r="B31" s="75" t="s">
        <v>15</v>
      </c>
      <c r="C31" s="75" t="s">
        <v>15</v>
      </c>
      <c r="D31" s="75" t="s">
        <v>15</v>
      </c>
      <c r="E31" s="75">
        <f t="shared" si="0"/>
        <v>0</v>
      </c>
      <c r="F31" s="75">
        <f t="shared" si="0"/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12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x14ac:dyDescent="0.2">
      <c r="A32" s="74" t="s">
        <v>55</v>
      </c>
      <c r="B32" s="75" t="s">
        <v>15</v>
      </c>
      <c r="C32" s="75" t="s">
        <v>15</v>
      </c>
      <c r="D32" s="75" t="s">
        <v>15</v>
      </c>
      <c r="E32" s="75">
        <f t="shared" si="0"/>
        <v>0</v>
      </c>
      <c r="F32" s="75">
        <f t="shared" si="0"/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12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x14ac:dyDescent="0.2">
      <c r="A33" s="74" t="s">
        <v>56</v>
      </c>
      <c r="B33" s="75" t="s">
        <v>15</v>
      </c>
      <c r="C33" s="75" t="s">
        <v>15</v>
      </c>
      <c r="D33" s="75" t="s">
        <v>15</v>
      </c>
      <c r="E33" s="75">
        <f t="shared" si="0"/>
        <v>0</v>
      </c>
      <c r="F33" s="75">
        <f t="shared" si="0"/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12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x14ac:dyDescent="0.2">
      <c r="A34" s="74" t="s">
        <v>57</v>
      </c>
      <c r="B34" s="75" t="s">
        <v>15</v>
      </c>
      <c r="C34" s="75" t="s">
        <v>15</v>
      </c>
      <c r="D34" s="75" t="s">
        <v>15</v>
      </c>
      <c r="E34" s="75">
        <f t="shared" si="0"/>
        <v>0</v>
      </c>
      <c r="F34" s="75">
        <f t="shared" si="0"/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12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x14ac:dyDescent="0.2">
      <c r="A35" s="74" t="s">
        <v>58</v>
      </c>
      <c r="B35" s="75" t="s">
        <v>15</v>
      </c>
      <c r="C35" s="75" t="s">
        <v>15</v>
      </c>
      <c r="D35" s="75" t="s">
        <v>15</v>
      </c>
      <c r="E35" s="75">
        <f t="shared" si="0"/>
        <v>0</v>
      </c>
      <c r="F35" s="75">
        <f t="shared" si="0"/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12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x14ac:dyDescent="0.2">
      <c r="A36" s="74" t="s">
        <v>59</v>
      </c>
      <c r="B36" s="75" t="s">
        <v>15</v>
      </c>
      <c r="C36" s="75" t="s">
        <v>16</v>
      </c>
      <c r="D36" s="75" t="s">
        <v>16</v>
      </c>
      <c r="E36" s="75">
        <f t="shared" si="0"/>
        <v>1</v>
      </c>
      <c r="F36" s="75">
        <f t="shared" si="0"/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12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x14ac:dyDescent="0.2">
      <c r="A37" s="74" t="s">
        <v>60</v>
      </c>
      <c r="B37" s="75" t="s">
        <v>15</v>
      </c>
      <c r="C37" s="75" t="s">
        <v>15</v>
      </c>
      <c r="D37" s="75" t="s">
        <v>15</v>
      </c>
      <c r="E37" s="75">
        <f t="shared" si="0"/>
        <v>0</v>
      </c>
      <c r="F37" s="75">
        <f t="shared" si="0"/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12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x14ac:dyDescent="0.2">
      <c r="A38" s="74" t="s">
        <v>61</v>
      </c>
      <c r="B38" s="75" t="s">
        <v>15</v>
      </c>
      <c r="C38" s="75" t="s">
        <v>15</v>
      </c>
      <c r="D38" s="75" t="s">
        <v>15</v>
      </c>
      <c r="E38" s="75">
        <f t="shared" si="0"/>
        <v>0</v>
      </c>
      <c r="F38" s="75">
        <f t="shared" si="0"/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12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x14ac:dyDescent="0.2">
      <c r="A39" s="74" t="s">
        <v>62</v>
      </c>
      <c r="B39" s="75" t="s">
        <v>15</v>
      </c>
      <c r="C39" s="75" t="s">
        <v>15</v>
      </c>
      <c r="D39" s="75" t="s">
        <v>15</v>
      </c>
      <c r="E39" s="75">
        <f t="shared" si="0"/>
        <v>0</v>
      </c>
      <c r="F39" s="75">
        <f t="shared" si="0"/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12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x14ac:dyDescent="0.2">
      <c r="A40" s="74" t="s">
        <v>63</v>
      </c>
      <c r="B40" s="75" t="s">
        <v>15</v>
      </c>
      <c r="C40" s="75" t="s">
        <v>15</v>
      </c>
      <c r="D40" s="75" t="s">
        <v>15</v>
      </c>
      <c r="E40" s="75">
        <f t="shared" si="0"/>
        <v>0</v>
      </c>
      <c r="F40" s="75">
        <f t="shared" si="0"/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12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x14ac:dyDescent="0.2">
      <c r="A41" s="74" t="s">
        <v>64</v>
      </c>
      <c r="B41" s="75" t="s">
        <v>15</v>
      </c>
      <c r="C41" s="75" t="s">
        <v>15</v>
      </c>
      <c r="D41" s="75" t="s">
        <v>15</v>
      </c>
      <c r="E41" s="75">
        <f t="shared" si="0"/>
        <v>0</v>
      </c>
      <c r="F41" s="75">
        <f t="shared" si="0"/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12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x14ac:dyDescent="0.2">
      <c r="A42" s="74" t="s">
        <v>65</v>
      </c>
      <c r="B42" s="75" t="s">
        <v>15</v>
      </c>
      <c r="C42" s="75" t="s">
        <v>15</v>
      </c>
      <c r="D42" s="75" t="s">
        <v>15</v>
      </c>
      <c r="E42" s="75">
        <f t="shared" si="0"/>
        <v>0</v>
      </c>
      <c r="F42" s="75">
        <f t="shared" si="0"/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12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x14ac:dyDescent="0.2">
      <c r="A43" s="74" t="s">
        <v>66</v>
      </c>
      <c r="B43" s="75" t="s">
        <v>15</v>
      </c>
      <c r="C43" s="75" t="s">
        <v>15</v>
      </c>
      <c r="D43" s="75" t="s">
        <v>15</v>
      </c>
      <c r="E43" s="75">
        <f t="shared" si="0"/>
        <v>0</v>
      </c>
      <c r="F43" s="75">
        <f t="shared" si="0"/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12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x14ac:dyDescent="0.2">
      <c r="A44" s="74" t="s">
        <v>67</v>
      </c>
      <c r="B44" s="75" t="s">
        <v>15</v>
      </c>
      <c r="C44" s="75" t="s">
        <v>16</v>
      </c>
      <c r="D44" s="75" t="s">
        <v>16</v>
      </c>
      <c r="E44" s="75">
        <f t="shared" si="0"/>
        <v>1</v>
      </c>
      <c r="F44" s="75">
        <f t="shared" si="0"/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12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x14ac:dyDescent="0.2">
      <c r="A45" s="74" t="s">
        <v>68</v>
      </c>
      <c r="B45" s="75" t="s">
        <v>15</v>
      </c>
      <c r="C45" s="75" t="s">
        <v>15</v>
      </c>
      <c r="D45" s="75" t="s">
        <v>15</v>
      </c>
      <c r="E45" s="75">
        <f t="shared" si="0"/>
        <v>0</v>
      </c>
      <c r="F45" s="75">
        <f t="shared" si="0"/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12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x14ac:dyDescent="0.2">
      <c r="A46" s="74" t="s">
        <v>69</v>
      </c>
      <c r="B46" s="75" t="s">
        <v>15</v>
      </c>
      <c r="C46" s="75" t="s">
        <v>15</v>
      </c>
      <c r="D46" s="75" t="s">
        <v>15</v>
      </c>
      <c r="E46" s="75">
        <f t="shared" si="0"/>
        <v>0</v>
      </c>
      <c r="F46" s="75">
        <f t="shared" si="0"/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12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x14ac:dyDescent="0.2">
      <c r="A47" s="74" t="s">
        <v>70</v>
      </c>
      <c r="B47" s="75" t="s">
        <v>15</v>
      </c>
      <c r="C47" s="75" t="s">
        <v>15</v>
      </c>
      <c r="D47" s="75" t="s">
        <v>15</v>
      </c>
      <c r="E47" s="75">
        <f t="shared" si="0"/>
        <v>0</v>
      </c>
      <c r="F47" s="75">
        <f t="shared" si="0"/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12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x14ac:dyDescent="0.2">
      <c r="A48" s="74" t="s">
        <v>71</v>
      </c>
      <c r="B48" s="75" t="s">
        <v>15</v>
      </c>
      <c r="C48" s="75" t="s">
        <v>15</v>
      </c>
      <c r="D48" s="75" t="s">
        <v>15</v>
      </c>
      <c r="E48" s="75">
        <f t="shared" si="0"/>
        <v>0</v>
      </c>
      <c r="F48" s="75">
        <f t="shared" si="0"/>
        <v>0</v>
      </c>
      <c r="G48" s="22"/>
      <c r="H48" s="22"/>
      <c r="I48" s="3"/>
      <c r="J48" s="3"/>
      <c r="K48" s="3"/>
      <c r="L48" s="3"/>
      <c r="M48" s="22"/>
      <c r="N48" s="22"/>
      <c r="O48" s="22"/>
      <c r="P48" s="22"/>
      <c r="Q48" s="22"/>
      <c r="R48" s="22"/>
      <c r="S48" s="23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</row>
    <row r="49" spans="1:33" x14ac:dyDescent="0.2">
      <c r="A49" s="74" t="s">
        <v>72</v>
      </c>
      <c r="B49" s="75" t="s">
        <v>15</v>
      </c>
      <c r="C49" s="75" t="s">
        <v>15</v>
      </c>
      <c r="D49" s="75" t="s">
        <v>16</v>
      </c>
      <c r="E49" s="75">
        <f t="shared" si="0"/>
        <v>0</v>
      </c>
      <c r="F49" s="75">
        <f t="shared" si="0"/>
        <v>1</v>
      </c>
      <c r="G49" s="22"/>
      <c r="H49" s="22"/>
      <c r="I49" s="3"/>
      <c r="J49" s="3"/>
      <c r="K49" s="3"/>
      <c r="L49" s="3"/>
      <c r="M49" s="22"/>
      <c r="N49" s="22"/>
      <c r="O49" s="22"/>
      <c r="P49" s="22"/>
      <c r="Q49" s="22"/>
      <c r="R49" s="22"/>
      <c r="S49" s="23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</row>
    <row r="50" spans="1:33" x14ac:dyDescent="0.2">
      <c r="A50" s="74" t="s">
        <v>73</v>
      </c>
      <c r="B50" s="75" t="s">
        <v>15</v>
      </c>
      <c r="C50" s="75" t="s">
        <v>15</v>
      </c>
      <c r="D50" s="75" t="s">
        <v>15</v>
      </c>
      <c r="E50" s="75">
        <f t="shared" si="0"/>
        <v>0</v>
      </c>
      <c r="F50" s="75">
        <f t="shared" si="0"/>
        <v>0</v>
      </c>
      <c r="G50" s="22"/>
      <c r="H50" s="22"/>
      <c r="I50" s="3"/>
      <c r="J50" s="3"/>
      <c r="K50" s="3"/>
      <c r="L50" s="3"/>
      <c r="M50" s="22"/>
      <c r="N50" s="22"/>
      <c r="O50" s="22"/>
      <c r="P50" s="22"/>
      <c r="Q50" s="22"/>
      <c r="R50" s="22"/>
      <c r="S50" s="23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</row>
    <row r="51" spans="1:33" x14ac:dyDescent="0.2">
      <c r="A51" s="74" t="s">
        <v>74</v>
      </c>
      <c r="B51" s="75" t="s">
        <v>15</v>
      </c>
      <c r="C51" s="75" t="s">
        <v>15</v>
      </c>
      <c r="D51" s="75" t="s">
        <v>15</v>
      </c>
      <c r="E51" s="75">
        <f t="shared" si="0"/>
        <v>0</v>
      </c>
      <c r="F51" s="75">
        <f t="shared" si="0"/>
        <v>0</v>
      </c>
      <c r="G51" s="22"/>
      <c r="H51" s="22"/>
      <c r="I51" s="3"/>
      <c r="J51" s="3"/>
      <c r="K51" s="3"/>
      <c r="L51" s="3"/>
      <c r="M51" s="22"/>
      <c r="N51" s="22"/>
      <c r="O51" s="22"/>
      <c r="P51" s="22"/>
      <c r="Q51" s="22"/>
      <c r="R51" s="22"/>
      <c r="S51" s="23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</row>
    <row r="52" spans="1:33" x14ac:dyDescent="0.2">
      <c r="A52" s="74" t="s">
        <v>75</v>
      </c>
      <c r="B52" s="75" t="s">
        <v>15</v>
      </c>
      <c r="C52" s="75" t="s">
        <v>15</v>
      </c>
      <c r="D52" s="75" t="s">
        <v>15</v>
      </c>
      <c r="E52" s="75">
        <f t="shared" si="0"/>
        <v>0</v>
      </c>
      <c r="F52" s="75">
        <f t="shared" si="0"/>
        <v>0</v>
      </c>
      <c r="G52" s="22"/>
      <c r="H52" s="22"/>
      <c r="I52" s="3"/>
      <c r="J52" s="3"/>
      <c r="K52" s="3"/>
      <c r="L52" s="3"/>
      <c r="M52" s="22"/>
      <c r="N52" s="22"/>
      <c r="O52" s="22"/>
      <c r="P52" s="22"/>
      <c r="Q52" s="22"/>
      <c r="R52" s="22"/>
      <c r="S52" s="23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</row>
    <row r="53" spans="1:33" x14ac:dyDescent="0.2">
      <c r="A53" s="74" t="s">
        <v>76</v>
      </c>
      <c r="B53" s="75" t="s">
        <v>15</v>
      </c>
      <c r="C53" s="75" t="s">
        <v>15</v>
      </c>
      <c r="D53" s="75" t="s">
        <v>15</v>
      </c>
      <c r="E53" s="75">
        <f t="shared" si="0"/>
        <v>0</v>
      </c>
      <c r="F53" s="75">
        <f t="shared" si="0"/>
        <v>0</v>
      </c>
      <c r="G53" s="22"/>
      <c r="H53" s="22"/>
      <c r="I53" s="3"/>
      <c r="J53" s="3"/>
      <c r="K53" s="3"/>
      <c r="L53" s="3"/>
      <c r="M53" s="22"/>
      <c r="N53" s="22"/>
      <c r="O53" s="22"/>
      <c r="P53" s="22"/>
      <c r="Q53" s="22"/>
      <c r="R53" s="22"/>
      <c r="S53" s="23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 spans="1:33" x14ac:dyDescent="0.2">
      <c r="A54" s="74" t="s">
        <v>77</v>
      </c>
      <c r="B54" s="75" t="s">
        <v>15</v>
      </c>
      <c r="C54" s="75" t="s">
        <v>15</v>
      </c>
      <c r="D54" s="75" t="s">
        <v>15</v>
      </c>
      <c r="E54" s="75">
        <f t="shared" si="0"/>
        <v>0</v>
      </c>
      <c r="F54" s="75">
        <f t="shared" si="0"/>
        <v>0</v>
      </c>
      <c r="G54" s="22"/>
      <c r="H54" s="22"/>
      <c r="I54" s="3"/>
      <c r="J54" s="3"/>
      <c r="K54" s="3"/>
      <c r="L54" s="3"/>
      <c r="M54" s="22"/>
      <c r="N54" s="22"/>
      <c r="O54" s="22"/>
      <c r="P54" s="22"/>
      <c r="Q54" s="22"/>
      <c r="R54" s="22"/>
      <c r="S54" s="23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</row>
    <row r="55" spans="1:33" x14ac:dyDescent="0.2">
      <c r="A55" s="74" t="s">
        <v>78</v>
      </c>
      <c r="B55" s="75" t="s">
        <v>15</v>
      </c>
      <c r="C55" s="75" t="s">
        <v>16</v>
      </c>
      <c r="D55" s="75" t="s">
        <v>16</v>
      </c>
      <c r="E55" s="75">
        <f t="shared" si="0"/>
        <v>1</v>
      </c>
      <c r="F55" s="75">
        <f t="shared" si="0"/>
        <v>0</v>
      </c>
      <c r="G55" s="22"/>
      <c r="H55" s="22"/>
      <c r="I55" s="3"/>
      <c r="J55" s="3"/>
      <c r="K55" s="3"/>
      <c r="L55" s="3"/>
      <c r="M55" s="22"/>
      <c r="N55" s="22"/>
      <c r="O55" s="22"/>
      <c r="P55" s="22"/>
      <c r="Q55" s="22"/>
      <c r="R55" s="22"/>
      <c r="S55" s="23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</row>
    <row r="56" spans="1:33" x14ac:dyDescent="0.2">
      <c r="A56" s="74" t="s">
        <v>79</v>
      </c>
      <c r="B56" s="75" t="s">
        <v>15</v>
      </c>
      <c r="C56" s="75" t="s">
        <v>15</v>
      </c>
      <c r="D56" s="75" t="s">
        <v>15</v>
      </c>
      <c r="E56" s="75">
        <f t="shared" si="0"/>
        <v>0</v>
      </c>
      <c r="F56" s="75">
        <f t="shared" si="0"/>
        <v>0</v>
      </c>
      <c r="G56" s="22"/>
      <c r="H56" s="22"/>
      <c r="I56" s="3"/>
      <c r="J56" s="3"/>
      <c r="K56" s="3"/>
      <c r="L56" s="3"/>
      <c r="M56" s="22"/>
      <c r="N56" s="22"/>
      <c r="O56" s="22"/>
      <c r="P56" s="22"/>
      <c r="Q56" s="22"/>
      <c r="R56" s="22"/>
      <c r="S56" s="23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</row>
    <row r="57" spans="1:33" x14ac:dyDescent="0.2">
      <c r="A57" s="74" t="s">
        <v>80</v>
      </c>
      <c r="B57" s="75" t="s">
        <v>15</v>
      </c>
      <c r="C57" s="75" t="s">
        <v>15</v>
      </c>
      <c r="D57" s="75" t="s">
        <v>15</v>
      </c>
      <c r="E57" s="75">
        <f t="shared" si="0"/>
        <v>0</v>
      </c>
      <c r="F57" s="75">
        <f t="shared" si="0"/>
        <v>0</v>
      </c>
      <c r="G57" s="22"/>
      <c r="H57" s="22"/>
      <c r="I57" s="3"/>
      <c r="J57" s="3"/>
      <c r="K57" s="3"/>
      <c r="L57" s="3"/>
      <c r="M57" s="22"/>
      <c r="N57" s="22"/>
      <c r="O57" s="22"/>
      <c r="P57" s="22"/>
      <c r="Q57" s="22"/>
      <c r="R57" s="22"/>
      <c r="S57" s="23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</row>
    <row r="58" spans="1:33" x14ac:dyDescent="0.2">
      <c r="A58" s="74" t="s">
        <v>81</v>
      </c>
      <c r="B58" s="75" t="s">
        <v>15</v>
      </c>
      <c r="C58" s="75" t="s">
        <v>15</v>
      </c>
      <c r="D58" s="75" t="s">
        <v>15</v>
      </c>
      <c r="E58" s="75">
        <f t="shared" si="0"/>
        <v>0</v>
      </c>
      <c r="F58" s="75">
        <f t="shared" si="0"/>
        <v>0</v>
      </c>
      <c r="G58" s="22"/>
      <c r="H58" s="22"/>
      <c r="I58" s="3"/>
      <c r="J58" s="3"/>
      <c r="K58" s="3"/>
      <c r="L58" s="3"/>
      <c r="M58" s="22"/>
      <c r="N58" s="22"/>
      <c r="O58" s="22"/>
      <c r="P58" s="22"/>
      <c r="Q58" s="22"/>
      <c r="R58" s="22"/>
      <c r="S58" s="23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 spans="1:33" x14ac:dyDescent="0.2">
      <c r="A59" s="74" t="s">
        <v>82</v>
      </c>
      <c r="B59" s="75" t="s">
        <v>15</v>
      </c>
      <c r="C59" s="75" t="s">
        <v>15</v>
      </c>
      <c r="D59" s="75" t="s">
        <v>15</v>
      </c>
      <c r="E59" s="75">
        <f t="shared" si="0"/>
        <v>0</v>
      </c>
      <c r="F59" s="75">
        <f t="shared" si="0"/>
        <v>0</v>
      </c>
      <c r="G59" s="22"/>
      <c r="H59" s="22"/>
      <c r="I59" s="3"/>
      <c r="J59" s="3"/>
      <c r="K59" s="3"/>
      <c r="L59" s="3"/>
      <c r="M59" s="22"/>
      <c r="N59" s="22"/>
      <c r="O59" s="22"/>
      <c r="P59" s="22"/>
      <c r="Q59" s="22"/>
      <c r="R59" s="22"/>
      <c r="S59" s="23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  <row r="60" spans="1:33" x14ac:dyDescent="0.2">
      <c r="A60" s="74" t="s">
        <v>83</v>
      </c>
      <c r="B60" s="75" t="s">
        <v>15</v>
      </c>
      <c r="C60" s="75" t="s">
        <v>15</v>
      </c>
      <c r="D60" s="75" t="s">
        <v>15</v>
      </c>
      <c r="E60" s="75">
        <f t="shared" si="0"/>
        <v>0</v>
      </c>
      <c r="F60" s="75">
        <f t="shared" si="0"/>
        <v>0</v>
      </c>
      <c r="G60" s="22"/>
      <c r="H60" s="22"/>
      <c r="I60" s="3"/>
      <c r="J60" s="3"/>
      <c r="K60" s="3"/>
      <c r="L60" s="3"/>
      <c r="M60" s="22"/>
      <c r="N60" s="22"/>
      <c r="O60" s="22"/>
      <c r="P60" s="22"/>
      <c r="Q60" s="22"/>
      <c r="R60" s="22"/>
      <c r="S60" s="23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</row>
    <row r="61" spans="1:33" x14ac:dyDescent="0.2">
      <c r="A61" s="74" t="s">
        <v>84</v>
      </c>
      <c r="B61" s="75" t="s">
        <v>15</v>
      </c>
      <c r="C61" s="75" t="s">
        <v>15</v>
      </c>
      <c r="D61" s="75" t="s">
        <v>15</v>
      </c>
      <c r="E61" s="75">
        <f t="shared" si="0"/>
        <v>0</v>
      </c>
      <c r="F61" s="75">
        <f t="shared" si="0"/>
        <v>0</v>
      </c>
      <c r="G61" s="22"/>
      <c r="H61" s="22"/>
      <c r="I61" s="3"/>
      <c r="J61" s="3"/>
      <c r="K61" s="3"/>
      <c r="L61" s="3"/>
      <c r="M61" s="22"/>
      <c r="N61" s="22"/>
      <c r="O61" s="22"/>
      <c r="P61" s="22"/>
      <c r="Q61" s="22"/>
      <c r="R61" s="22"/>
      <c r="S61" s="23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</row>
    <row r="62" spans="1:33" x14ac:dyDescent="0.2">
      <c r="A62" s="74" t="s">
        <v>85</v>
      </c>
      <c r="B62" s="75" t="s">
        <v>15</v>
      </c>
      <c r="C62" s="75" t="s">
        <v>15</v>
      </c>
      <c r="D62" s="75" t="s">
        <v>15</v>
      </c>
      <c r="E62" s="75">
        <f t="shared" si="0"/>
        <v>0</v>
      </c>
      <c r="F62" s="75">
        <f t="shared" si="0"/>
        <v>0</v>
      </c>
      <c r="G62" s="22"/>
      <c r="H62" s="22"/>
      <c r="I62" s="3"/>
      <c r="J62" s="3"/>
      <c r="K62" s="3"/>
      <c r="L62" s="3"/>
      <c r="M62" s="22"/>
      <c r="N62" s="22"/>
      <c r="O62" s="22"/>
      <c r="P62" s="22"/>
      <c r="Q62" s="22"/>
      <c r="R62" s="22"/>
      <c r="S62" s="23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</row>
    <row r="63" spans="1:33" x14ac:dyDescent="0.2">
      <c r="A63" s="74" t="s">
        <v>86</v>
      </c>
      <c r="B63" s="75" t="s">
        <v>15</v>
      </c>
      <c r="C63" s="75" t="s">
        <v>16</v>
      </c>
      <c r="D63" s="75" t="s">
        <v>16</v>
      </c>
      <c r="E63" s="75">
        <f t="shared" si="0"/>
        <v>1</v>
      </c>
      <c r="F63" s="75">
        <f t="shared" si="0"/>
        <v>0</v>
      </c>
      <c r="G63" s="22"/>
      <c r="H63" s="22"/>
      <c r="I63" s="3"/>
      <c r="J63" s="3"/>
      <c r="K63" s="3"/>
      <c r="L63" s="3"/>
      <c r="M63" s="22"/>
      <c r="N63" s="22"/>
      <c r="O63" s="22"/>
      <c r="P63" s="22"/>
      <c r="Q63" s="22"/>
      <c r="R63" s="22"/>
      <c r="S63" s="23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</row>
    <row r="64" spans="1:33" x14ac:dyDescent="0.2">
      <c r="A64" s="74" t="s">
        <v>87</v>
      </c>
      <c r="B64" s="75" t="s">
        <v>15</v>
      </c>
      <c r="C64" s="75" t="s">
        <v>16</v>
      </c>
      <c r="D64" s="75" t="s">
        <v>16</v>
      </c>
      <c r="E64" s="75">
        <f t="shared" si="0"/>
        <v>1</v>
      </c>
      <c r="F64" s="75">
        <f t="shared" si="0"/>
        <v>0</v>
      </c>
      <c r="G64" s="22"/>
      <c r="H64" s="22"/>
      <c r="I64" s="3"/>
      <c r="J64" s="3"/>
      <c r="K64" s="3"/>
      <c r="L64" s="3"/>
      <c r="M64" s="22"/>
      <c r="N64" s="22"/>
      <c r="O64" s="22"/>
      <c r="P64" s="22"/>
      <c r="Q64" s="22"/>
      <c r="R64" s="22"/>
      <c r="S64" s="23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</row>
    <row r="65" spans="1:33" x14ac:dyDescent="0.2">
      <c r="A65" s="74" t="s">
        <v>88</v>
      </c>
      <c r="B65" s="75" t="s">
        <v>15</v>
      </c>
      <c r="C65" s="75" t="s">
        <v>15</v>
      </c>
      <c r="D65" s="75" t="s">
        <v>15</v>
      </c>
      <c r="E65" s="75">
        <f t="shared" si="0"/>
        <v>0</v>
      </c>
      <c r="F65" s="75">
        <f t="shared" si="0"/>
        <v>0</v>
      </c>
      <c r="G65" s="22"/>
      <c r="H65" s="22"/>
      <c r="I65" s="3"/>
      <c r="J65" s="3"/>
      <c r="K65" s="3"/>
      <c r="L65" s="3"/>
      <c r="M65" s="22"/>
      <c r="N65" s="22"/>
      <c r="O65" s="22"/>
      <c r="P65" s="22"/>
      <c r="Q65" s="22"/>
      <c r="R65" s="22"/>
      <c r="S65" s="23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</row>
    <row r="66" spans="1:33" x14ac:dyDescent="0.2">
      <c r="A66" s="74" t="s">
        <v>89</v>
      </c>
      <c r="B66" s="75" t="s">
        <v>15</v>
      </c>
      <c r="C66" s="75" t="s">
        <v>15</v>
      </c>
      <c r="D66" s="75" t="s">
        <v>15</v>
      </c>
      <c r="E66" s="75">
        <f t="shared" si="0"/>
        <v>0</v>
      </c>
      <c r="F66" s="75">
        <f t="shared" si="0"/>
        <v>0</v>
      </c>
      <c r="G66" s="22"/>
      <c r="H66" s="22"/>
      <c r="I66" s="3"/>
      <c r="J66" s="3"/>
      <c r="K66" s="3"/>
      <c r="L66" s="3"/>
      <c r="M66" s="22"/>
      <c r="N66" s="22"/>
      <c r="O66" s="22"/>
      <c r="P66" s="22"/>
      <c r="Q66" s="22"/>
      <c r="R66" s="22"/>
      <c r="S66" s="23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</row>
    <row r="67" spans="1:33" x14ac:dyDescent="0.2">
      <c r="A67" s="74" t="s">
        <v>90</v>
      </c>
      <c r="B67" s="75" t="s">
        <v>15</v>
      </c>
      <c r="C67" s="75" t="s">
        <v>15</v>
      </c>
      <c r="D67" s="75" t="s">
        <v>15</v>
      </c>
      <c r="E67" s="75">
        <f t="shared" si="0"/>
        <v>0</v>
      </c>
      <c r="F67" s="75">
        <f t="shared" si="0"/>
        <v>0</v>
      </c>
      <c r="G67" s="22"/>
      <c r="H67" s="22"/>
      <c r="I67" s="3"/>
      <c r="J67" s="3"/>
      <c r="K67" s="3"/>
      <c r="L67" s="3"/>
      <c r="M67" s="22"/>
      <c r="N67" s="22"/>
      <c r="O67" s="22"/>
      <c r="P67" s="22"/>
      <c r="Q67" s="22"/>
      <c r="R67" s="22"/>
      <c r="S67" s="23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</row>
    <row r="68" spans="1:33" x14ac:dyDescent="0.2">
      <c r="A68" s="74" t="s">
        <v>91</v>
      </c>
      <c r="B68" s="75" t="s">
        <v>15</v>
      </c>
      <c r="C68" s="75" t="s">
        <v>15</v>
      </c>
      <c r="D68" s="75" t="s">
        <v>15</v>
      </c>
      <c r="E68" s="75">
        <f t="shared" ref="E68:F131" si="5">IF(B68=C68,0,1)</f>
        <v>0</v>
      </c>
      <c r="F68" s="75">
        <f t="shared" si="5"/>
        <v>0</v>
      </c>
      <c r="G68" s="22"/>
      <c r="H68" s="22"/>
      <c r="I68" s="3"/>
      <c r="J68" s="3"/>
      <c r="K68" s="3"/>
      <c r="L68" s="3"/>
      <c r="M68" s="22"/>
      <c r="N68" s="22"/>
      <c r="O68" s="22"/>
      <c r="P68" s="22"/>
      <c r="Q68" s="22"/>
      <c r="R68" s="22"/>
      <c r="S68" s="23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</row>
    <row r="69" spans="1:33" x14ac:dyDescent="0.2">
      <c r="A69" s="74" t="s">
        <v>92</v>
      </c>
      <c r="B69" s="75" t="s">
        <v>15</v>
      </c>
      <c r="C69" s="75" t="s">
        <v>15</v>
      </c>
      <c r="D69" s="75" t="s">
        <v>15</v>
      </c>
      <c r="E69" s="75">
        <f t="shared" si="5"/>
        <v>0</v>
      </c>
      <c r="F69" s="75">
        <f t="shared" si="5"/>
        <v>0</v>
      </c>
      <c r="G69" s="22"/>
      <c r="H69" s="22"/>
      <c r="I69" s="3"/>
      <c r="J69" s="3"/>
      <c r="K69" s="3"/>
      <c r="L69" s="3"/>
      <c r="M69" s="22"/>
      <c r="N69" s="22"/>
      <c r="O69" s="22"/>
      <c r="P69" s="22"/>
      <c r="Q69" s="22"/>
      <c r="R69" s="22"/>
      <c r="S69" s="23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</row>
    <row r="70" spans="1:33" x14ac:dyDescent="0.2">
      <c r="A70" s="74" t="s">
        <v>93</v>
      </c>
      <c r="B70" s="75" t="s">
        <v>15</v>
      </c>
      <c r="C70" s="75" t="s">
        <v>15</v>
      </c>
      <c r="D70" s="75" t="s">
        <v>15</v>
      </c>
      <c r="E70" s="75">
        <f t="shared" si="5"/>
        <v>0</v>
      </c>
      <c r="F70" s="75">
        <f t="shared" si="5"/>
        <v>0</v>
      </c>
      <c r="G70" s="22"/>
      <c r="H70" s="22"/>
      <c r="I70" s="3"/>
      <c r="J70" s="3"/>
      <c r="K70" s="3"/>
      <c r="L70" s="3"/>
      <c r="M70" s="22"/>
      <c r="N70" s="22"/>
      <c r="O70" s="22"/>
      <c r="P70" s="22"/>
      <c r="Q70" s="22"/>
      <c r="R70" s="22"/>
      <c r="S70" s="23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</row>
    <row r="71" spans="1:33" x14ac:dyDescent="0.2">
      <c r="A71" s="74" t="s">
        <v>94</v>
      </c>
      <c r="B71" s="75" t="s">
        <v>15</v>
      </c>
      <c r="C71" s="75" t="s">
        <v>15</v>
      </c>
      <c r="D71" s="75" t="s">
        <v>15</v>
      </c>
      <c r="E71" s="75">
        <f t="shared" si="5"/>
        <v>0</v>
      </c>
      <c r="F71" s="75">
        <f t="shared" si="5"/>
        <v>0</v>
      </c>
      <c r="G71" s="22"/>
      <c r="H71" s="22"/>
      <c r="I71" s="3"/>
      <c r="J71" s="3"/>
      <c r="K71" s="3"/>
      <c r="L71" s="3"/>
      <c r="M71" s="22"/>
      <c r="N71" s="22"/>
      <c r="O71" s="22"/>
      <c r="P71" s="22"/>
      <c r="Q71" s="22"/>
      <c r="R71" s="22"/>
      <c r="S71" s="23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</row>
    <row r="72" spans="1:33" x14ac:dyDescent="0.2">
      <c r="A72" s="74" t="s">
        <v>95</v>
      </c>
      <c r="B72" s="75" t="s">
        <v>15</v>
      </c>
      <c r="C72" s="75" t="s">
        <v>15</v>
      </c>
      <c r="D72" s="75" t="s">
        <v>15</v>
      </c>
      <c r="E72" s="75">
        <f t="shared" si="5"/>
        <v>0</v>
      </c>
      <c r="F72" s="75">
        <f t="shared" si="5"/>
        <v>0</v>
      </c>
      <c r="G72" s="22"/>
      <c r="H72" s="22"/>
      <c r="I72" s="3"/>
      <c r="J72" s="3"/>
      <c r="K72" s="3"/>
      <c r="L72" s="3"/>
      <c r="M72" s="22"/>
      <c r="N72" s="22"/>
      <c r="O72" s="22"/>
      <c r="P72" s="22"/>
      <c r="Q72" s="22"/>
      <c r="R72" s="22"/>
      <c r="S72" s="23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</row>
    <row r="73" spans="1:33" x14ac:dyDescent="0.2">
      <c r="A73" s="74" t="s">
        <v>96</v>
      </c>
      <c r="B73" s="75" t="s">
        <v>15</v>
      </c>
      <c r="C73" s="75" t="s">
        <v>15</v>
      </c>
      <c r="D73" s="75" t="s">
        <v>15</v>
      </c>
      <c r="E73" s="75">
        <f t="shared" si="5"/>
        <v>0</v>
      </c>
      <c r="F73" s="75">
        <f t="shared" si="5"/>
        <v>0</v>
      </c>
      <c r="G73" s="22"/>
      <c r="H73" s="22"/>
      <c r="I73" s="3"/>
      <c r="J73" s="3"/>
      <c r="K73" s="3"/>
      <c r="L73" s="3"/>
      <c r="M73" s="22"/>
      <c r="N73" s="22"/>
      <c r="O73" s="22"/>
      <c r="P73" s="22"/>
      <c r="Q73" s="22"/>
      <c r="R73" s="22"/>
      <c r="S73" s="23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</row>
    <row r="74" spans="1:33" x14ac:dyDescent="0.2">
      <c r="A74" s="74" t="s">
        <v>97</v>
      </c>
      <c r="B74" s="75" t="s">
        <v>15</v>
      </c>
      <c r="C74" s="75" t="s">
        <v>15</v>
      </c>
      <c r="D74" s="75" t="s">
        <v>15</v>
      </c>
      <c r="E74" s="75">
        <f t="shared" si="5"/>
        <v>0</v>
      </c>
      <c r="F74" s="75">
        <f t="shared" si="5"/>
        <v>0</v>
      </c>
      <c r="G74" s="22"/>
      <c r="H74" s="22"/>
      <c r="I74" s="3"/>
      <c r="J74" s="3"/>
      <c r="K74" s="3"/>
      <c r="L74" s="3"/>
      <c r="M74" s="22"/>
      <c r="N74" s="22"/>
      <c r="O74" s="22"/>
      <c r="P74" s="22"/>
      <c r="Q74" s="22"/>
      <c r="R74" s="22"/>
      <c r="S74" s="23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</row>
    <row r="75" spans="1:33" x14ac:dyDescent="0.2">
      <c r="A75" s="74" t="s">
        <v>98</v>
      </c>
      <c r="B75" s="75" t="s">
        <v>15</v>
      </c>
      <c r="C75" s="75" t="s">
        <v>15</v>
      </c>
      <c r="D75" s="75" t="s">
        <v>15</v>
      </c>
      <c r="E75" s="75">
        <f t="shared" si="5"/>
        <v>0</v>
      </c>
      <c r="F75" s="75">
        <f t="shared" si="5"/>
        <v>0</v>
      </c>
      <c r="G75" s="22"/>
      <c r="H75" s="22"/>
      <c r="I75" s="3"/>
      <c r="J75" s="3"/>
      <c r="K75" s="3"/>
      <c r="L75" s="3"/>
      <c r="M75" s="22"/>
      <c r="N75" s="22"/>
      <c r="O75" s="22"/>
      <c r="P75" s="22"/>
      <c r="Q75" s="22"/>
      <c r="R75" s="22"/>
      <c r="S75" s="23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</row>
    <row r="76" spans="1:33" x14ac:dyDescent="0.2">
      <c r="A76" s="74" t="s">
        <v>99</v>
      </c>
      <c r="B76" s="75" t="s">
        <v>15</v>
      </c>
      <c r="C76" s="75" t="s">
        <v>15</v>
      </c>
      <c r="D76" s="75" t="s">
        <v>15</v>
      </c>
      <c r="E76" s="75">
        <f t="shared" si="5"/>
        <v>0</v>
      </c>
      <c r="F76" s="75">
        <f t="shared" si="5"/>
        <v>0</v>
      </c>
      <c r="G76" s="22"/>
      <c r="H76" s="22"/>
      <c r="I76" s="3"/>
      <c r="J76" s="3"/>
      <c r="K76" s="3"/>
      <c r="L76" s="3"/>
      <c r="M76" s="22"/>
      <c r="N76" s="22"/>
      <c r="O76" s="22"/>
      <c r="P76" s="22"/>
      <c r="Q76" s="22"/>
      <c r="R76" s="22"/>
      <c r="S76" s="23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</row>
    <row r="77" spans="1:33" x14ac:dyDescent="0.2">
      <c r="A77" s="74" t="s">
        <v>100</v>
      </c>
      <c r="B77" s="75" t="s">
        <v>15</v>
      </c>
      <c r="C77" s="75" t="s">
        <v>15</v>
      </c>
      <c r="D77" s="75" t="s">
        <v>15</v>
      </c>
      <c r="E77" s="75">
        <f t="shared" si="5"/>
        <v>0</v>
      </c>
      <c r="F77" s="75">
        <f t="shared" si="5"/>
        <v>0</v>
      </c>
      <c r="G77" s="22"/>
      <c r="H77" s="22"/>
      <c r="I77" s="3"/>
      <c r="J77" s="3"/>
      <c r="K77" s="3"/>
      <c r="L77" s="3"/>
      <c r="M77" s="22"/>
      <c r="N77" s="22"/>
      <c r="O77" s="22"/>
      <c r="P77" s="22"/>
      <c r="Q77" s="22"/>
      <c r="R77" s="22"/>
      <c r="S77" s="23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</row>
    <row r="78" spans="1:33" x14ac:dyDescent="0.2">
      <c r="A78" s="74" t="s">
        <v>101</v>
      </c>
      <c r="B78" s="75" t="s">
        <v>15</v>
      </c>
      <c r="C78" s="75" t="s">
        <v>15</v>
      </c>
      <c r="D78" s="75" t="s">
        <v>15</v>
      </c>
      <c r="E78" s="75">
        <f t="shared" si="5"/>
        <v>0</v>
      </c>
      <c r="F78" s="75">
        <f t="shared" si="5"/>
        <v>0</v>
      </c>
      <c r="G78" s="22"/>
      <c r="H78" s="22"/>
      <c r="I78" s="3"/>
      <c r="J78" s="3"/>
      <c r="K78" s="3"/>
      <c r="L78" s="3"/>
      <c r="M78" s="22"/>
      <c r="N78" s="22"/>
      <c r="O78" s="22"/>
      <c r="P78" s="22"/>
      <c r="Q78" s="22"/>
      <c r="R78" s="22"/>
      <c r="S78" s="23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</row>
    <row r="79" spans="1:33" x14ac:dyDescent="0.2">
      <c r="A79" s="74" t="s">
        <v>102</v>
      </c>
      <c r="B79" s="75" t="s">
        <v>15</v>
      </c>
      <c r="C79" s="75" t="s">
        <v>15</v>
      </c>
      <c r="D79" s="75" t="s">
        <v>15</v>
      </c>
      <c r="E79" s="75">
        <f t="shared" si="5"/>
        <v>0</v>
      </c>
      <c r="F79" s="75">
        <f t="shared" si="5"/>
        <v>0</v>
      </c>
      <c r="G79" s="22"/>
      <c r="H79" s="22"/>
      <c r="I79" s="3"/>
      <c r="J79" s="3"/>
      <c r="K79" s="3"/>
      <c r="L79" s="3"/>
      <c r="M79" s="22"/>
      <c r="N79" s="22"/>
      <c r="O79" s="22"/>
      <c r="P79" s="22"/>
      <c r="Q79" s="22"/>
      <c r="R79" s="22"/>
      <c r="S79" s="23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</row>
    <row r="80" spans="1:33" x14ac:dyDescent="0.2">
      <c r="A80" s="74" t="s">
        <v>103</v>
      </c>
      <c r="B80" s="75" t="s">
        <v>15</v>
      </c>
      <c r="C80" s="75" t="s">
        <v>15</v>
      </c>
      <c r="D80" s="75" t="s">
        <v>15</v>
      </c>
      <c r="E80" s="75">
        <f t="shared" si="5"/>
        <v>0</v>
      </c>
      <c r="F80" s="75">
        <f t="shared" si="5"/>
        <v>0</v>
      </c>
      <c r="G80" s="22"/>
      <c r="H80" s="22"/>
      <c r="I80" s="3"/>
      <c r="J80" s="3"/>
      <c r="K80" s="3"/>
      <c r="L80" s="3"/>
      <c r="M80" s="22"/>
      <c r="N80" s="22"/>
      <c r="O80" s="22"/>
      <c r="P80" s="22"/>
      <c r="Q80" s="22"/>
      <c r="R80" s="22"/>
      <c r="S80" s="23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 spans="1:33" x14ac:dyDescent="0.2">
      <c r="A81" s="74" t="s">
        <v>104</v>
      </c>
      <c r="B81" s="75" t="s">
        <v>15</v>
      </c>
      <c r="C81" s="75" t="s">
        <v>15</v>
      </c>
      <c r="D81" s="75" t="s">
        <v>15</v>
      </c>
      <c r="E81" s="75">
        <f t="shared" si="5"/>
        <v>0</v>
      </c>
      <c r="F81" s="75">
        <f t="shared" si="5"/>
        <v>0</v>
      </c>
      <c r="G81" s="22"/>
      <c r="H81" s="22"/>
      <c r="I81" s="3"/>
      <c r="J81" s="3"/>
      <c r="K81" s="3"/>
      <c r="L81" s="3"/>
      <c r="M81" s="22"/>
      <c r="N81" s="22"/>
      <c r="O81" s="22"/>
      <c r="P81" s="22"/>
      <c r="Q81" s="22"/>
      <c r="R81" s="22"/>
      <c r="S81" s="23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 spans="1:33" x14ac:dyDescent="0.2">
      <c r="A82" s="74" t="s">
        <v>105</v>
      </c>
      <c r="B82" s="75" t="s">
        <v>15</v>
      </c>
      <c r="C82" s="75" t="s">
        <v>15</v>
      </c>
      <c r="D82" s="75" t="s">
        <v>15</v>
      </c>
      <c r="E82" s="75">
        <f t="shared" si="5"/>
        <v>0</v>
      </c>
      <c r="F82" s="75">
        <f t="shared" si="5"/>
        <v>0</v>
      </c>
      <c r="G82" s="22"/>
      <c r="H82" s="22"/>
      <c r="I82" s="3"/>
      <c r="J82" s="3"/>
      <c r="K82" s="3"/>
      <c r="L82" s="3"/>
      <c r="M82" s="22"/>
      <c r="N82" s="22"/>
      <c r="O82" s="22"/>
      <c r="P82" s="22"/>
      <c r="Q82" s="22"/>
      <c r="R82" s="22"/>
      <c r="S82" s="23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</row>
    <row r="83" spans="1:33" x14ac:dyDescent="0.2">
      <c r="A83" s="74" t="s">
        <v>106</v>
      </c>
      <c r="B83" s="75" t="s">
        <v>15</v>
      </c>
      <c r="C83" s="75" t="s">
        <v>15</v>
      </c>
      <c r="D83" s="75" t="s">
        <v>15</v>
      </c>
      <c r="E83" s="75">
        <f t="shared" si="5"/>
        <v>0</v>
      </c>
      <c r="F83" s="75">
        <f t="shared" si="5"/>
        <v>0</v>
      </c>
      <c r="G83" s="22"/>
      <c r="H83" s="22"/>
      <c r="I83" s="3"/>
      <c r="J83" s="3"/>
      <c r="K83" s="3"/>
      <c r="L83" s="3"/>
      <c r="M83" s="22"/>
      <c r="N83" s="22"/>
      <c r="O83" s="22"/>
      <c r="P83" s="22"/>
      <c r="Q83" s="22"/>
      <c r="R83" s="22"/>
      <c r="S83" s="23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</row>
    <row r="84" spans="1:33" x14ac:dyDescent="0.2">
      <c r="A84" s="74" t="s">
        <v>107</v>
      </c>
      <c r="B84" s="75" t="s">
        <v>15</v>
      </c>
      <c r="C84" s="75" t="s">
        <v>15</v>
      </c>
      <c r="D84" s="75" t="s">
        <v>15</v>
      </c>
      <c r="E84" s="75">
        <f t="shared" si="5"/>
        <v>0</v>
      </c>
      <c r="F84" s="75">
        <f t="shared" si="5"/>
        <v>0</v>
      </c>
      <c r="G84" s="22"/>
      <c r="H84" s="22"/>
      <c r="I84" s="3"/>
      <c r="J84" s="3"/>
      <c r="K84" s="3"/>
      <c r="L84" s="3"/>
      <c r="M84" s="22"/>
      <c r="N84" s="22"/>
      <c r="O84" s="22"/>
      <c r="P84" s="22"/>
      <c r="Q84" s="22"/>
      <c r="R84" s="22"/>
      <c r="S84" s="23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</row>
    <row r="85" spans="1:33" x14ac:dyDescent="0.2">
      <c r="A85" s="74" t="s">
        <v>108</v>
      </c>
      <c r="B85" s="75" t="s">
        <v>15</v>
      </c>
      <c r="C85" s="75" t="s">
        <v>15</v>
      </c>
      <c r="D85" s="75" t="s">
        <v>15</v>
      </c>
      <c r="E85" s="75">
        <f t="shared" si="5"/>
        <v>0</v>
      </c>
      <c r="F85" s="75">
        <f t="shared" si="5"/>
        <v>0</v>
      </c>
      <c r="G85" s="22"/>
      <c r="H85" s="22"/>
      <c r="I85" s="3"/>
      <c r="J85" s="3"/>
      <c r="K85" s="3"/>
      <c r="L85" s="3"/>
      <c r="M85" s="22"/>
      <c r="N85" s="22"/>
      <c r="O85" s="22"/>
      <c r="P85" s="22"/>
      <c r="Q85" s="22"/>
      <c r="R85" s="22"/>
      <c r="S85" s="23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 spans="1:33" x14ac:dyDescent="0.2">
      <c r="A86" s="74" t="s">
        <v>109</v>
      </c>
      <c r="B86" s="75" t="s">
        <v>15</v>
      </c>
      <c r="C86" s="75" t="s">
        <v>15</v>
      </c>
      <c r="D86" s="75" t="s">
        <v>15</v>
      </c>
      <c r="E86" s="75">
        <f t="shared" si="5"/>
        <v>0</v>
      </c>
      <c r="F86" s="75">
        <f t="shared" si="5"/>
        <v>0</v>
      </c>
      <c r="G86" s="22"/>
      <c r="H86" s="22"/>
      <c r="I86" s="3"/>
      <c r="J86" s="3"/>
      <c r="K86" s="3"/>
      <c r="L86" s="3"/>
      <c r="M86" s="22"/>
      <c r="N86" s="22"/>
      <c r="O86" s="22"/>
      <c r="P86" s="22"/>
      <c r="Q86" s="22"/>
      <c r="R86" s="22"/>
      <c r="S86" s="23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x14ac:dyDescent="0.2">
      <c r="A87" s="74" t="s">
        <v>110</v>
      </c>
      <c r="B87" s="75" t="s">
        <v>15</v>
      </c>
      <c r="C87" s="75" t="s">
        <v>15</v>
      </c>
      <c r="D87" s="75" t="s">
        <v>15</v>
      </c>
      <c r="E87" s="75">
        <f t="shared" si="5"/>
        <v>0</v>
      </c>
      <c r="F87" s="75">
        <f t="shared" si="5"/>
        <v>0</v>
      </c>
      <c r="G87" s="22"/>
      <c r="H87" s="22"/>
      <c r="I87" s="3"/>
      <c r="J87" s="3"/>
      <c r="K87" s="3"/>
      <c r="L87" s="3"/>
      <c r="M87" s="22"/>
      <c r="N87" s="22"/>
      <c r="O87" s="22"/>
      <c r="P87" s="22"/>
      <c r="Q87" s="22"/>
      <c r="R87" s="22"/>
      <c r="S87" s="23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</row>
    <row r="88" spans="1:33" x14ac:dyDescent="0.2">
      <c r="A88" s="74" t="s">
        <v>111</v>
      </c>
      <c r="B88" s="75" t="s">
        <v>15</v>
      </c>
      <c r="C88" s="75" t="s">
        <v>15</v>
      </c>
      <c r="D88" s="75" t="s">
        <v>15</v>
      </c>
      <c r="E88" s="75">
        <f t="shared" si="5"/>
        <v>0</v>
      </c>
      <c r="F88" s="75">
        <f t="shared" si="5"/>
        <v>0</v>
      </c>
      <c r="G88" s="22"/>
      <c r="H88" s="22"/>
      <c r="I88" s="3"/>
      <c r="J88" s="3"/>
      <c r="K88" s="3"/>
      <c r="L88" s="3"/>
      <c r="M88" s="22"/>
      <c r="N88" s="22"/>
      <c r="O88" s="22"/>
      <c r="P88" s="22"/>
      <c r="Q88" s="22"/>
      <c r="R88" s="22"/>
      <c r="S88" s="23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</row>
    <row r="89" spans="1:33" x14ac:dyDescent="0.2">
      <c r="A89" s="74" t="s">
        <v>112</v>
      </c>
      <c r="B89" s="75" t="s">
        <v>15</v>
      </c>
      <c r="C89" s="75" t="s">
        <v>15</v>
      </c>
      <c r="D89" s="75" t="s">
        <v>15</v>
      </c>
      <c r="E89" s="75">
        <f t="shared" si="5"/>
        <v>0</v>
      </c>
      <c r="F89" s="75">
        <f t="shared" si="5"/>
        <v>0</v>
      </c>
      <c r="G89" s="22"/>
      <c r="H89" s="22"/>
      <c r="I89" s="3"/>
      <c r="J89" s="3"/>
      <c r="K89" s="3"/>
      <c r="L89" s="3"/>
      <c r="M89" s="22"/>
      <c r="N89" s="22"/>
      <c r="O89" s="22"/>
      <c r="P89" s="22"/>
      <c r="Q89" s="22"/>
      <c r="R89" s="22"/>
      <c r="S89" s="23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</row>
    <row r="90" spans="1:33" x14ac:dyDescent="0.2">
      <c r="A90" s="74" t="s">
        <v>113</v>
      </c>
      <c r="B90" s="75" t="s">
        <v>15</v>
      </c>
      <c r="C90" s="75" t="s">
        <v>15</v>
      </c>
      <c r="D90" s="75" t="s">
        <v>15</v>
      </c>
      <c r="E90" s="75">
        <f t="shared" si="5"/>
        <v>0</v>
      </c>
      <c r="F90" s="75">
        <f t="shared" si="5"/>
        <v>0</v>
      </c>
      <c r="G90" s="22"/>
      <c r="H90" s="22"/>
      <c r="I90" s="3"/>
      <c r="J90" s="3"/>
      <c r="K90" s="3"/>
      <c r="L90" s="3"/>
      <c r="M90" s="22"/>
      <c r="N90" s="22"/>
      <c r="O90" s="22"/>
      <c r="P90" s="22"/>
      <c r="Q90" s="22"/>
      <c r="R90" s="22"/>
      <c r="S90" s="23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</row>
    <row r="91" spans="1:33" x14ac:dyDescent="0.2">
      <c r="A91" s="74" t="s">
        <v>114</v>
      </c>
      <c r="B91" s="75" t="s">
        <v>15</v>
      </c>
      <c r="C91" s="75" t="s">
        <v>15</v>
      </c>
      <c r="D91" s="75" t="s">
        <v>15</v>
      </c>
      <c r="E91" s="75">
        <f t="shared" si="5"/>
        <v>0</v>
      </c>
      <c r="F91" s="75">
        <f t="shared" si="5"/>
        <v>0</v>
      </c>
      <c r="G91" s="22"/>
      <c r="H91" s="22"/>
      <c r="I91" s="3"/>
      <c r="J91" s="3"/>
      <c r="K91" s="3"/>
      <c r="L91" s="3"/>
      <c r="M91" s="22"/>
      <c r="N91" s="22"/>
      <c r="O91" s="22"/>
      <c r="P91" s="22"/>
      <c r="Q91" s="22"/>
      <c r="R91" s="22"/>
      <c r="S91" s="23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</row>
    <row r="92" spans="1:33" x14ac:dyDescent="0.2">
      <c r="A92" s="74" t="s">
        <v>115</v>
      </c>
      <c r="B92" s="75" t="s">
        <v>15</v>
      </c>
      <c r="C92" s="75" t="s">
        <v>15</v>
      </c>
      <c r="D92" s="75" t="s">
        <v>15</v>
      </c>
      <c r="E92" s="75">
        <f t="shared" si="5"/>
        <v>0</v>
      </c>
      <c r="F92" s="75">
        <f t="shared" si="5"/>
        <v>0</v>
      </c>
      <c r="G92" s="22"/>
      <c r="H92" s="22"/>
      <c r="I92" s="3"/>
      <c r="J92" s="3"/>
      <c r="K92" s="3"/>
      <c r="L92" s="3"/>
      <c r="M92" s="22"/>
      <c r="N92" s="22"/>
      <c r="O92" s="22"/>
      <c r="P92" s="22"/>
      <c r="Q92" s="22"/>
      <c r="R92" s="22"/>
      <c r="S92" s="23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</row>
    <row r="93" spans="1:33" x14ac:dyDescent="0.2">
      <c r="A93" s="74" t="s">
        <v>116</v>
      </c>
      <c r="B93" s="75" t="s">
        <v>15</v>
      </c>
      <c r="C93" s="75" t="s">
        <v>15</v>
      </c>
      <c r="D93" s="75" t="s">
        <v>15</v>
      </c>
      <c r="E93" s="75">
        <f t="shared" si="5"/>
        <v>0</v>
      </c>
      <c r="F93" s="75">
        <f t="shared" si="5"/>
        <v>0</v>
      </c>
      <c r="G93" s="22"/>
      <c r="H93" s="22"/>
      <c r="I93" s="3"/>
      <c r="J93" s="3"/>
      <c r="K93" s="3"/>
      <c r="L93" s="3"/>
      <c r="M93" s="22"/>
      <c r="N93" s="22"/>
      <c r="O93" s="22"/>
      <c r="P93" s="22"/>
      <c r="Q93" s="22"/>
      <c r="R93" s="22"/>
      <c r="S93" s="23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 spans="1:33" x14ac:dyDescent="0.2">
      <c r="A94" s="74" t="s">
        <v>117</v>
      </c>
      <c r="B94" s="75" t="s">
        <v>15</v>
      </c>
      <c r="C94" s="75" t="s">
        <v>15</v>
      </c>
      <c r="D94" s="75" t="s">
        <v>15</v>
      </c>
      <c r="E94" s="75">
        <f t="shared" si="5"/>
        <v>0</v>
      </c>
      <c r="F94" s="75">
        <f t="shared" si="5"/>
        <v>0</v>
      </c>
      <c r="G94" s="22"/>
      <c r="H94" s="22"/>
      <c r="I94" s="3"/>
      <c r="J94" s="3"/>
      <c r="K94" s="3"/>
      <c r="L94" s="3"/>
      <c r="M94" s="22"/>
      <c r="N94" s="22"/>
      <c r="O94" s="22"/>
      <c r="P94" s="22"/>
      <c r="Q94" s="22"/>
      <c r="R94" s="22"/>
      <c r="S94" s="23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  <row r="95" spans="1:33" x14ac:dyDescent="0.2">
      <c r="A95" s="74" t="s">
        <v>118</v>
      </c>
      <c r="B95" s="75" t="s">
        <v>15</v>
      </c>
      <c r="C95" s="75" t="s">
        <v>15</v>
      </c>
      <c r="D95" s="75" t="s">
        <v>15</v>
      </c>
      <c r="E95" s="75">
        <f t="shared" si="5"/>
        <v>0</v>
      </c>
      <c r="F95" s="75">
        <f t="shared" si="5"/>
        <v>0</v>
      </c>
      <c r="G95" s="22"/>
      <c r="H95" s="22"/>
      <c r="I95" s="3"/>
      <c r="J95" s="3"/>
      <c r="K95" s="3"/>
      <c r="L95" s="3"/>
      <c r="M95" s="22"/>
      <c r="N95" s="22"/>
      <c r="O95" s="22"/>
      <c r="P95" s="22"/>
      <c r="Q95" s="22"/>
      <c r="R95" s="22"/>
      <c r="S95" s="23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</row>
    <row r="96" spans="1:33" x14ac:dyDescent="0.2">
      <c r="A96" s="74" t="s">
        <v>119</v>
      </c>
      <c r="B96" s="75" t="s">
        <v>15</v>
      </c>
      <c r="C96" s="75" t="s">
        <v>15</v>
      </c>
      <c r="D96" s="75" t="s">
        <v>15</v>
      </c>
      <c r="E96" s="75">
        <f t="shared" si="5"/>
        <v>0</v>
      </c>
      <c r="F96" s="75">
        <f t="shared" si="5"/>
        <v>0</v>
      </c>
      <c r="G96" s="22"/>
      <c r="H96" s="22"/>
      <c r="I96" s="3"/>
      <c r="J96" s="3"/>
      <c r="K96" s="3"/>
      <c r="L96" s="3"/>
      <c r="M96" s="22"/>
      <c r="N96" s="22"/>
      <c r="O96" s="22"/>
      <c r="P96" s="22"/>
      <c r="Q96" s="22"/>
      <c r="R96" s="22"/>
      <c r="S96" s="23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</row>
    <row r="97" spans="1:33" x14ac:dyDescent="0.2">
      <c r="A97" s="74" t="s">
        <v>120</v>
      </c>
      <c r="B97" s="75" t="s">
        <v>15</v>
      </c>
      <c r="C97" s="75" t="s">
        <v>15</v>
      </c>
      <c r="D97" s="75" t="s">
        <v>15</v>
      </c>
      <c r="E97" s="75">
        <f t="shared" si="5"/>
        <v>0</v>
      </c>
      <c r="F97" s="75">
        <f t="shared" si="5"/>
        <v>0</v>
      </c>
      <c r="G97" s="22"/>
      <c r="H97" s="22"/>
      <c r="I97" s="3"/>
      <c r="J97" s="3"/>
      <c r="K97" s="3"/>
      <c r="L97" s="3"/>
      <c r="M97" s="22"/>
      <c r="N97" s="22"/>
      <c r="O97" s="22"/>
      <c r="P97" s="22"/>
      <c r="Q97" s="22"/>
      <c r="R97" s="22"/>
      <c r="S97" s="23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 spans="1:33" x14ac:dyDescent="0.2">
      <c r="A98" s="74" t="s">
        <v>121</v>
      </c>
      <c r="B98" s="75" t="s">
        <v>15</v>
      </c>
      <c r="C98" s="75" t="s">
        <v>15</v>
      </c>
      <c r="D98" s="75" t="s">
        <v>15</v>
      </c>
      <c r="E98" s="75">
        <f t="shared" si="5"/>
        <v>0</v>
      </c>
      <c r="F98" s="75">
        <f t="shared" si="5"/>
        <v>0</v>
      </c>
      <c r="G98" s="22"/>
      <c r="H98" s="22"/>
      <c r="I98" s="3"/>
      <c r="J98" s="3"/>
      <c r="K98" s="3"/>
      <c r="L98" s="3"/>
      <c r="M98" s="22"/>
      <c r="N98" s="22"/>
      <c r="O98" s="22"/>
      <c r="P98" s="22"/>
      <c r="Q98" s="22"/>
      <c r="R98" s="22"/>
      <c r="S98" s="23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</row>
    <row r="99" spans="1:33" x14ac:dyDescent="0.2">
      <c r="A99" s="74" t="s">
        <v>122</v>
      </c>
      <c r="B99" s="75" t="s">
        <v>15</v>
      </c>
      <c r="C99" s="75" t="s">
        <v>15</v>
      </c>
      <c r="D99" s="75" t="s">
        <v>15</v>
      </c>
      <c r="E99" s="75">
        <f t="shared" si="5"/>
        <v>0</v>
      </c>
      <c r="F99" s="75">
        <f t="shared" si="5"/>
        <v>0</v>
      </c>
      <c r="G99" s="22"/>
      <c r="H99" s="22"/>
      <c r="I99" s="3"/>
      <c r="J99" s="3"/>
      <c r="K99" s="3"/>
      <c r="L99" s="3"/>
      <c r="M99" s="22"/>
      <c r="N99" s="22"/>
      <c r="O99" s="22"/>
      <c r="P99" s="22"/>
      <c r="Q99" s="22"/>
      <c r="R99" s="22"/>
      <c r="S99" s="23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</row>
    <row r="100" spans="1:33" x14ac:dyDescent="0.2">
      <c r="A100" s="74" t="s">
        <v>123</v>
      </c>
      <c r="B100" s="75" t="s">
        <v>15</v>
      </c>
      <c r="C100" s="75" t="s">
        <v>15</v>
      </c>
      <c r="D100" s="75" t="s">
        <v>15</v>
      </c>
      <c r="E100" s="75">
        <f t="shared" si="5"/>
        <v>0</v>
      </c>
      <c r="F100" s="75">
        <f t="shared" si="5"/>
        <v>0</v>
      </c>
      <c r="G100" s="22"/>
      <c r="H100" s="22"/>
      <c r="I100" s="3"/>
      <c r="J100" s="3"/>
      <c r="K100" s="3"/>
      <c r="L100" s="3"/>
      <c r="M100" s="22"/>
      <c r="N100" s="22"/>
      <c r="O100" s="22"/>
      <c r="P100" s="22"/>
      <c r="Q100" s="22"/>
      <c r="R100" s="22"/>
      <c r="S100" s="23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</row>
    <row r="101" spans="1:33" x14ac:dyDescent="0.2">
      <c r="A101" s="74" t="s">
        <v>124</v>
      </c>
      <c r="B101" s="75" t="s">
        <v>15</v>
      </c>
      <c r="C101" s="75" t="s">
        <v>15</v>
      </c>
      <c r="D101" s="75" t="s">
        <v>16</v>
      </c>
      <c r="E101" s="75">
        <f t="shared" si="5"/>
        <v>0</v>
      </c>
      <c r="F101" s="75">
        <f t="shared" si="5"/>
        <v>1</v>
      </c>
      <c r="G101" s="22"/>
      <c r="H101" s="22"/>
      <c r="I101" s="3"/>
      <c r="J101" s="3"/>
      <c r="K101" s="3"/>
      <c r="L101" s="3"/>
      <c r="M101" s="22"/>
      <c r="N101" s="22"/>
      <c r="O101" s="22"/>
      <c r="P101" s="22"/>
      <c r="Q101" s="22"/>
      <c r="R101" s="22"/>
      <c r="S101" s="23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</row>
    <row r="102" spans="1:33" x14ac:dyDescent="0.2">
      <c r="A102" s="74" t="s">
        <v>125</v>
      </c>
      <c r="B102" s="75" t="s">
        <v>15</v>
      </c>
      <c r="C102" s="75" t="s">
        <v>15</v>
      </c>
      <c r="D102" s="75" t="s">
        <v>15</v>
      </c>
      <c r="E102" s="75">
        <f t="shared" si="5"/>
        <v>0</v>
      </c>
      <c r="F102" s="75">
        <f t="shared" si="5"/>
        <v>0</v>
      </c>
      <c r="G102" s="22"/>
      <c r="H102" s="22"/>
      <c r="I102" s="3"/>
      <c r="J102" s="3"/>
      <c r="K102" s="3"/>
      <c r="L102" s="3"/>
      <c r="M102" s="22"/>
      <c r="N102" s="22"/>
      <c r="O102" s="22"/>
      <c r="P102" s="22"/>
      <c r="Q102" s="22"/>
      <c r="R102" s="22"/>
      <c r="S102" s="23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</row>
    <row r="103" spans="1:33" x14ac:dyDescent="0.2">
      <c r="A103" s="74" t="s">
        <v>126</v>
      </c>
      <c r="B103" s="75" t="s">
        <v>15</v>
      </c>
      <c r="C103" s="75" t="s">
        <v>15</v>
      </c>
      <c r="D103" s="75" t="s">
        <v>15</v>
      </c>
      <c r="E103" s="75">
        <f t="shared" si="5"/>
        <v>0</v>
      </c>
      <c r="F103" s="75">
        <f t="shared" si="5"/>
        <v>0</v>
      </c>
      <c r="G103" s="22"/>
      <c r="H103" s="22"/>
      <c r="I103" s="3"/>
      <c r="J103" s="3"/>
      <c r="K103" s="3"/>
      <c r="L103" s="3"/>
      <c r="M103" s="22"/>
      <c r="N103" s="22"/>
      <c r="O103" s="22"/>
      <c r="P103" s="22"/>
      <c r="Q103" s="22"/>
      <c r="R103" s="22"/>
      <c r="S103" s="23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</row>
    <row r="104" spans="1:33" x14ac:dyDescent="0.2">
      <c r="A104" s="74" t="s">
        <v>127</v>
      </c>
      <c r="B104" s="75" t="s">
        <v>15</v>
      </c>
      <c r="C104" s="75" t="s">
        <v>15</v>
      </c>
      <c r="D104" s="75" t="s">
        <v>15</v>
      </c>
      <c r="E104" s="75">
        <f t="shared" si="5"/>
        <v>0</v>
      </c>
      <c r="F104" s="75">
        <f t="shared" si="5"/>
        <v>0</v>
      </c>
      <c r="G104" s="22"/>
      <c r="H104" s="22"/>
      <c r="I104" s="3"/>
      <c r="J104" s="3"/>
      <c r="K104" s="3"/>
      <c r="L104" s="3"/>
      <c r="M104" s="22"/>
      <c r="N104" s="22"/>
      <c r="O104" s="22"/>
      <c r="P104" s="22"/>
      <c r="Q104" s="22"/>
      <c r="R104" s="22"/>
      <c r="S104" s="23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</row>
    <row r="105" spans="1:33" x14ac:dyDescent="0.2">
      <c r="A105" s="74" t="s">
        <v>128</v>
      </c>
      <c r="B105" s="75" t="s">
        <v>15</v>
      </c>
      <c r="C105" s="75" t="s">
        <v>15</v>
      </c>
      <c r="D105" s="75" t="s">
        <v>15</v>
      </c>
      <c r="E105" s="75">
        <f t="shared" si="5"/>
        <v>0</v>
      </c>
      <c r="F105" s="75">
        <f t="shared" si="5"/>
        <v>0</v>
      </c>
      <c r="G105" s="22"/>
      <c r="H105" s="22"/>
      <c r="I105" s="3"/>
      <c r="J105" s="3"/>
      <c r="K105" s="3"/>
      <c r="L105" s="3"/>
      <c r="M105" s="22"/>
      <c r="N105" s="22"/>
      <c r="O105" s="22"/>
      <c r="P105" s="22"/>
      <c r="Q105" s="22"/>
      <c r="R105" s="22"/>
      <c r="S105" s="23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</row>
    <row r="106" spans="1:33" x14ac:dyDescent="0.2">
      <c r="A106" s="74" t="s">
        <v>129</v>
      </c>
      <c r="B106" s="75" t="s">
        <v>15</v>
      </c>
      <c r="C106" s="75" t="s">
        <v>15</v>
      </c>
      <c r="D106" s="75" t="s">
        <v>16</v>
      </c>
      <c r="E106" s="75">
        <f t="shared" si="5"/>
        <v>0</v>
      </c>
      <c r="F106" s="75">
        <f t="shared" si="5"/>
        <v>1</v>
      </c>
      <c r="G106" s="22"/>
      <c r="H106" s="22"/>
      <c r="I106" s="3"/>
      <c r="J106" s="3"/>
      <c r="K106" s="3"/>
      <c r="L106" s="3"/>
      <c r="M106" s="22"/>
      <c r="N106" s="22"/>
      <c r="O106" s="22"/>
      <c r="P106" s="22"/>
      <c r="Q106" s="22"/>
      <c r="R106" s="22"/>
      <c r="S106" s="23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</row>
    <row r="107" spans="1:33" x14ac:dyDescent="0.2">
      <c r="A107" s="74" t="s">
        <v>130</v>
      </c>
      <c r="B107" s="75" t="s">
        <v>15</v>
      </c>
      <c r="C107" s="75" t="s">
        <v>15</v>
      </c>
      <c r="D107" s="75" t="s">
        <v>15</v>
      </c>
      <c r="E107" s="75">
        <f t="shared" si="5"/>
        <v>0</v>
      </c>
      <c r="F107" s="75">
        <f t="shared" si="5"/>
        <v>0</v>
      </c>
      <c r="G107" s="22"/>
      <c r="H107" s="22"/>
      <c r="I107" s="3"/>
      <c r="J107" s="3"/>
      <c r="K107" s="3"/>
      <c r="L107" s="3"/>
      <c r="M107" s="22"/>
      <c r="N107" s="22"/>
      <c r="O107" s="22"/>
      <c r="P107" s="22"/>
      <c r="Q107" s="22"/>
      <c r="R107" s="22"/>
      <c r="S107" s="23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</row>
    <row r="108" spans="1:33" x14ac:dyDescent="0.2">
      <c r="A108" s="74" t="s">
        <v>131</v>
      </c>
      <c r="B108" s="75" t="s">
        <v>15</v>
      </c>
      <c r="C108" s="75" t="s">
        <v>15</v>
      </c>
      <c r="D108" s="75" t="s">
        <v>15</v>
      </c>
      <c r="E108" s="75">
        <f t="shared" si="5"/>
        <v>0</v>
      </c>
      <c r="F108" s="75">
        <f t="shared" si="5"/>
        <v>0</v>
      </c>
      <c r="G108" s="22"/>
      <c r="H108" s="22"/>
      <c r="I108" s="3"/>
      <c r="J108" s="3"/>
      <c r="K108" s="3"/>
      <c r="L108" s="3"/>
      <c r="M108" s="22"/>
      <c r="N108" s="22"/>
      <c r="O108" s="22"/>
      <c r="P108" s="22"/>
      <c r="Q108" s="22"/>
      <c r="R108" s="22"/>
      <c r="S108" s="23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</row>
    <row r="109" spans="1:33" x14ac:dyDescent="0.2">
      <c r="A109" s="74" t="s">
        <v>132</v>
      </c>
      <c r="B109" s="75" t="s">
        <v>15</v>
      </c>
      <c r="C109" s="75" t="s">
        <v>15</v>
      </c>
      <c r="D109" s="75" t="s">
        <v>15</v>
      </c>
      <c r="E109" s="75">
        <f t="shared" si="5"/>
        <v>0</v>
      </c>
      <c r="F109" s="75">
        <f t="shared" si="5"/>
        <v>0</v>
      </c>
      <c r="G109" s="22"/>
      <c r="H109" s="22"/>
      <c r="I109" s="3"/>
      <c r="J109" s="3"/>
      <c r="K109" s="3"/>
      <c r="L109" s="3"/>
      <c r="M109" s="22"/>
      <c r="N109" s="22"/>
      <c r="O109" s="22"/>
      <c r="P109" s="22"/>
      <c r="Q109" s="22"/>
      <c r="R109" s="22"/>
      <c r="S109" s="23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</row>
    <row r="110" spans="1:33" x14ac:dyDescent="0.2">
      <c r="A110" s="74" t="s">
        <v>133</v>
      </c>
      <c r="B110" s="75" t="s">
        <v>15</v>
      </c>
      <c r="C110" s="75" t="s">
        <v>15</v>
      </c>
      <c r="D110" s="75" t="s">
        <v>15</v>
      </c>
      <c r="E110" s="75">
        <f t="shared" si="5"/>
        <v>0</v>
      </c>
      <c r="F110" s="75">
        <f t="shared" si="5"/>
        <v>0</v>
      </c>
      <c r="G110" s="22"/>
      <c r="H110" s="22"/>
      <c r="I110" s="3"/>
      <c r="J110" s="3"/>
      <c r="K110" s="3"/>
      <c r="L110" s="3"/>
      <c r="M110" s="22"/>
      <c r="N110" s="22"/>
      <c r="O110" s="22"/>
      <c r="P110" s="22"/>
      <c r="Q110" s="22"/>
      <c r="R110" s="22"/>
      <c r="S110" s="23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</row>
    <row r="111" spans="1:33" x14ac:dyDescent="0.2">
      <c r="A111" s="74" t="s">
        <v>134</v>
      </c>
      <c r="B111" s="75" t="s">
        <v>15</v>
      </c>
      <c r="C111" s="75" t="s">
        <v>15</v>
      </c>
      <c r="D111" s="75" t="s">
        <v>15</v>
      </c>
      <c r="E111" s="75">
        <f t="shared" si="5"/>
        <v>0</v>
      </c>
      <c r="F111" s="75">
        <f t="shared" si="5"/>
        <v>0</v>
      </c>
      <c r="G111" s="22"/>
      <c r="H111" s="22"/>
      <c r="I111" s="3"/>
      <c r="J111" s="3"/>
      <c r="K111" s="3"/>
      <c r="L111" s="3"/>
      <c r="M111" s="22"/>
      <c r="N111" s="22"/>
      <c r="O111" s="22"/>
      <c r="P111" s="22"/>
      <c r="Q111" s="22"/>
      <c r="R111" s="22"/>
      <c r="S111" s="23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</row>
    <row r="112" spans="1:33" x14ac:dyDescent="0.2">
      <c r="A112" s="74" t="s">
        <v>135</v>
      </c>
      <c r="B112" s="75" t="s">
        <v>15</v>
      </c>
      <c r="C112" s="75" t="s">
        <v>15</v>
      </c>
      <c r="D112" s="75" t="s">
        <v>15</v>
      </c>
      <c r="E112" s="75">
        <f t="shared" si="5"/>
        <v>0</v>
      </c>
      <c r="F112" s="75">
        <f t="shared" si="5"/>
        <v>0</v>
      </c>
      <c r="G112" s="22"/>
      <c r="H112" s="22"/>
      <c r="I112" s="3"/>
      <c r="J112" s="3"/>
      <c r="K112" s="3"/>
      <c r="L112" s="3"/>
      <c r="M112" s="22"/>
      <c r="N112" s="22"/>
      <c r="O112" s="22"/>
      <c r="P112" s="22"/>
      <c r="Q112" s="22"/>
      <c r="R112" s="22"/>
      <c r="S112" s="23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</row>
    <row r="113" spans="1:33" x14ac:dyDescent="0.2">
      <c r="A113" s="74" t="s">
        <v>136</v>
      </c>
      <c r="B113" s="75" t="s">
        <v>15</v>
      </c>
      <c r="C113" s="75" t="s">
        <v>16</v>
      </c>
      <c r="D113" s="75" t="s">
        <v>16</v>
      </c>
      <c r="E113" s="75">
        <f t="shared" si="5"/>
        <v>1</v>
      </c>
      <c r="F113" s="75">
        <f t="shared" si="5"/>
        <v>0</v>
      </c>
      <c r="G113" s="22"/>
      <c r="H113" s="22"/>
      <c r="I113" s="3"/>
      <c r="J113" s="3"/>
      <c r="K113" s="3"/>
      <c r="L113" s="3"/>
      <c r="M113" s="22"/>
      <c r="N113" s="22"/>
      <c r="O113" s="22"/>
      <c r="P113" s="22"/>
      <c r="Q113" s="22"/>
      <c r="R113" s="22"/>
      <c r="S113" s="23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</row>
    <row r="114" spans="1:33" x14ac:dyDescent="0.2">
      <c r="A114" s="74" t="s">
        <v>137</v>
      </c>
      <c r="B114" s="75" t="s">
        <v>15</v>
      </c>
      <c r="C114" s="75" t="s">
        <v>15</v>
      </c>
      <c r="D114" s="75" t="s">
        <v>15</v>
      </c>
      <c r="E114" s="75">
        <f t="shared" si="5"/>
        <v>0</v>
      </c>
      <c r="F114" s="75">
        <f t="shared" si="5"/>
        <v>0</v>
      </c>
      <c r="G114" s="22"/>
      <c r="H114" s="22"/>
      <c r="I114" s="3"/>
      <c r="J114" s="3"/>
      <c r="K114" s="3"/>
      <c r="L114" s="3"/>
      <c r="M114" s="22"/>
      <c r="N114" s="22"/>
      <c r="O114" s="22"/>
      <c r="P114" s="22"/>
      <c r="Q114" s="22"/>
      <c r="R114" s="22"/>
      <c r="S114" s="23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</row>
    <row r="115" spans="1:33" x14ac:dyDescent="0.2">
      <c r="A115" s="74" t="s">
        <v>138</v>
      </c>
      <c r="B115" s="75" t="s">
        <v>15</v>
      </c>
      <c r="C115" s="75" t="s">
        <v>15</v>
      </c>
      <c r="D115" s="75" t="s">
        <v>15</v>
      </c>
      <c r="E115" s="75">
        <f t="shared" si="5"/>
        <v>0</v>
      </c>
      <c r="F115" s="75">
        <f t="shared" si="5"/>
        <v>0</v>
      </c>
      <c r="G115" s="22"/>
      <c r="H115" s="22"/>
      <c r="I115" s="3"/>
      <c r="J115" s="3"/>
      <c r="K115" s="3"/>
      <c r="L115" s="3"/>
      <c r="M115" s="22"/>
      <c r="N115" s="22"/>
      <c r="O115" s="22"/>
      <c r="P115" s="22"/>
      <c r="Q115" s="22"/>
      <c r="R115" s="22"/>
      <c r="S115" s="23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</row>
    <row r="116" spans="1:33" x14ac:dyDescent="0.2">
      <c r="A116" s="74" t="s">
        <v>139</v>
      </c>
      <c r="B116" s="75" t="s">
        <v>15</v>
      </c>
      <c r="C116" s="75" t="s">
        <v>15</v>
      </c>
      <c r="D116" s="75" t="s">
        <v>15</v>
      </c>
      <c r="E116" s="75">
        <f t="shared" si="5"/>
        <v>0</v>
      </c>
      <c r="F116" s="75">
        <f t="shared" si="5"/>
        <v>0</v>
      </c>
      <c r="G116" s="22"/>
      <c r="H116" s="22"/>
      <c r="I116" s="3"/>
      <c r="J116" s="3"/>
      <c r="K116" s="3"/>
      <c r="L116" s="3"/>
      <c r="M116" s="22"/>
      <c r="N116" s="22"/>
      <c r="O116" s="22"/>
      <c r="P116" s="22"/>
      <c r="Q116" s="22"/>
      <c r="R116" s="22"/>
      <c r="S116" s="23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</row>
    <row r="117" spans="1:33" x14ac:dyDescent="0.2">
      <c r="A117" s="74" t="s">
        <v>140</v>
      </c>
      <c r="B117" s="75" t="s">
        <v>15</v>
      </c>
      <c r="C117" s="75" t="s">
        <v>15</v>
      </c>
      <c r="D117" s="75" t="s">
        <v>15</v>
      </c>
      <c r="E117" s="75">
        <f t="shared" si="5"/>
        <v>0</v>
      </c>
      <c r="F117" s="75">
        <f t="shared" si="5"/>
        <v>0</v>
      </c>
      <c r="G117" s="22"/>
      <c r="H117" s="22"/>
      <c r="I117" s="3"/>
      <c r="J117" s="3"/>
      <c r="K117" s="3"/>
      <c r="L117" s="3"/>
      <c r="M117" s="22"/>
      <c r="N117" s="22"/>
      <c r="O117" s="22"/>
      <c r="P117" s="22"/>
      <c r="Q117" s="22"/>
      <c r="R117" s="22"/>
      <c r="S117" s="23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</row>
    <row r="118" spans="1:33" x14ac:dyDescent="0.2">
      <c r="A118" s="74" t="s">
        <v>141</v>
      </c>
      <c r="B118" s="75" t="s">
        <v>15</v>
      </c>
      <c r="C118" s="75" t="s">
        <v>15</v>
      </c>
      <c r="D118" s="75" t="s">
        <v>15</v>
      </c>
      <c r="E118" s="75">
        <f t="shared" si="5"/>
        <v>0</v>
      </c>
      <c r="F118" s="75">
        <f t="shared" si="5"/>
        <v>0</v>
      </c>
      <c r="G118" s="22"/>
      <c r="H118" s="22"/>
      <c r="I118" s="3"/>
      <c r="J118" s="3"/>
      <c r="K118" s="3"/>
      <c r="L118" s="3"/>
      <c r="M118" s="22"/>
      <c r="N118" s="22"/>
      <c r="O118" s="22"/>
      <c r="P118" s="22"/>
      <c r="Q118" s="22"/>
      <c r="R118" s="22"/>
      <c r="S118" s="23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</row>
    <row r="119" spans="1:33" x14ac:dyDescent="0.2">
      <c r="A119" s="74" t="s">
        <v>142</v>
      </c>
      <c r="B119" s="75" t="s">
        <v>15</v>
      </c>
      <c r="C119" s="75" t="s">
        <v>15</v>
      </c>
      <c r="D119" s="75" t="s">
        <v>15</v>
      </c>
      <c r="E119" s="75">
        <f t="shared" si="5"/>
        <v>0</v>
      </c>
      <c r="F119" s="75">
        <f t="shared" si="5"/>
        <v>0</v>
      </c>
      <c r="G119" s="22"/>
      <c r="H119" s="22"/>
      <c r="I119" s="3"/>
      <c r="J119" s="3"/>
      <c r="K119" s="3"/>
      <c r="L119" s="3"/>
      <c r="M119" s="22"/>
      <c r="N119" s="22"/>
      <c r="O119" s="22"/>
      <c r="P119" s="22"/>
      <c r="Q119" s="22"/>
      <c r="R119" s="22"/>
      <c r="S119" s="23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</row>
    <row r="120" spans="1:33" x14ac:dyDescent="0.2">
      <c r="A120" s="74" t="s">
        <v>143</v>
      </c>
      <c r="B120" s="75" t="s">
        <v>15</v>
      </c>
      <c r="C120" s="75" t="s">
        <v>15</v>
      </c>
      <c r="D120" s="75" t="s">
        <v>15</v>
      </c>
      <c r="E120" s="75">
        <f t="shared" si="5"/>
        <v>0</v>
      </c>
      <c r="F120" s="75">
        <f t="shared" si="5"/>
        <v>0</v>
      </c>
      <c r="G120" s="22"/>
      <c r="H120" s="22"/>
      <c r="I120" s="3"/>
      <c r="J120" s="3"/>
      <c r="K120" s="3"/>
      <c r="L120" s="3"/>
      <c r="M120" s="22"/>
      <c r="N120" s="22"/>
      <c r="O120" s="22"/>
      <c r="P120" s="22"/>
      <c r="Q120" s="22"/>
      <c r="R120" s="22"/>
      <c r="S120" s="23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</row>
    <row r="121" spans="1:33" x14ac:dyDescent="0.2">
      <c r="A121" s="74" t="s">
        <v>144</v>
      </c>
      <c r="B121" s="75" t="s">
        <v>15</v>
      </c>
      <c r="C121" s="75" t="s">
        <v>15</v>
      </c>
      <c r="D121" s="75" t="s">
        <v>15</v>
      </c>
      <c r="E121" s="75">
        <f t="shared" si="5"/>
        <v>0</v>
      </c>
      <c r="F121" s="75">
        <f t="shared" si="5"/>
        <v>0</v>
      </c>
      <c r="G121" s="22"/>
      <c r="H121" s="22"/>
      <c r="I121" s="3"/>
      <c r="J121" s="3"/>
      <c r="K121" s="3"/>
      <c r="L121" s="3"/>
      <c r="M121" s="22"/>
      <c r="N121" s="22"/>
      <c r="O121" s="22"/>
      <c r="P121" s="22"/>
      <c r="Q121" s="22"/>
      <c r="R121" s="22"/>
      <c r="S121" s="23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</row>
    <row r="122" spans="1:33" ht="16" thickBot="1" x14ac:dyDescent="0.25">
      <c r="A122" s="76" t="s">
        <v>145</v>
      </c>
      <c r="B122" s="77" t="s">
        <v>15</v>
      </c>
      <c r="C122" s="77" t="s">
        <v>15</v>
      </c>
      <c r="D122" s="77" t="s">
        <v>15</v>
      </c>
      <c r="E122" s="77">
        <f t="shared" si="5"/>
        <v>0</v>
      </c>
      <c r="F122" s="77">
        <f t="shared" si="5"/>
        <v>0</v>
      </c>
      <c r="G122" s="22"/>
      <c r="H122" s="22"/>
      <c r="I122" s="3"/>
      <c r="J122" s="3"/>
      <c r="K122" s="3"/>
      <c r="L122" s="3"/>
      <c r="M122" s="22"/>
      <c r="N122" s="22"/>
      <c r="O122" s="22"/>
      <c r="P122" s="22"/>
      <c r="Q122" s="22"/>
      <c r="R122" s="22"/>
      <c r="S122" s="23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</row>
    <row r="123" spans="1:33" x14ac:dyDescent="0.2">
      <c r="A123" s="78" t="s">
        <v>146</v>
      </c>
      <c r="B123" s="79" t="s">
        <v>147</v>
      </c>
      <c r="C123" s="79" t="s">
        <v>147</v>
      </c>
      <c r="D123" s="79" t="s">
        <v>147</v>
      </c>
      <c r="E123" s="79">
        <f t="shared" si="5"/>
        <v>0</v>
      </c>
      <c r="F123" s="79">
        <f t="shared" si="5"/>
        <v>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12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x14ac:dyDescent="0.2">
      <c r="A124" s="80" t="s">
        <v>148</v>
      </c>
      <c r="B124" s="81" t="s">
        <v>147</v>
      </c>
      <c r="C124" s="81" t="s">
        <v>16</v>
      </c>
      <c r="D124" s="81" t="s">
        <v>16</v>
      </c>
      <c r="E124" s="81">
        <f t="shared" si="5"/>
        <v>1</v>
      </c>
      <c r="F124" s="81">
        <f t="shared" si="5"/>
        <v>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12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x14ac:dyDescent="0.2">
      <c r="A125" s="80" t="s">
        <v>149</v>
      </c>
      <c r="B125" s="81" t="s">
        <v>147</v>
      </c>
      <c r="C125" s="81" t="s">
        <v>16</v>
      </c>
      <c r="D125" s="81" t="s">
        <v>16</v>
      </c>
      <c r="E125" s="81">
        <f t="shared" si="5"/>
        <v>1</v>
      </c>
      <c r="F125" s="81">
        <f t="shared" si="5"/>
        <v>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12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x14ac:dyDescent="0.2">
      <c r="A126" s="80" t="s">
        <v>150</v>
      </c>
      <c r="B126" s="81" t="s">
        <v>147</v>
      </c>
      <c r="C126" s="81" t="s">
        <v>16</v>
      </c>
      <c r="D126" s="81" t="s">
        <v>16</v>
      </c>
      <c r="E126" s="81">
        <f t="shared" si="5"/>
        <v>1</v>
      </c>
      <c r="F126" s="81">
        <f t="shared" si="5"/>
        <v>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12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x14ac:dyDescent="0.2">
      <c r="A127" s="80" t="s">
        <v>151</v>
      </c>
      <c r="B127" s="81" t="s">
        <v>147</v>
      </c>
      <c r="C127" s="81" t="s">
        <v>147</v>
      </c>
      <c r="D127" s="81" t="s">
        <v>147</v>
      </c>
      <c r="E127" s="81">
        <f t="shared" si="5"/>
        <v>0</v>
      </c>
      <c r="F127" s="81">
        <f t="shared" si="5"/>
        <v>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x14ac:dyDescent="0.2">
      <c r="A128" s="80" t="s">
        <v>152</v>
      </c>
      <c r="B128" s="81" t="s">
        <v>147</v>
      </c>
      <c r="C128" s="81" t="s">
        <v>147</v>
      </c>
      <c r="D128" s="81" t="s">
        <v>147</v>
      </c>
      <c r="E128" s="81">
        <f t="shared" si="5"/>
        <v>0</v>
      </c>
      <c r="F128" s="81">
        <f t="shared" si="5"/>
        <v>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x14ac:dyDescent="0.2">
      <c r="A129" s="80" t="s">
        <v>153</v>
      </c>
      <c r="B129" s="81" t="s">
        <v>147</v>
      </c>
      <c r="C129" s="81" t="s">
        <v>147</v>
      </c>
      <c r="D129" s="81" t="s">
        <v>147</v>
      </c>
      <c r="E129" s="81">
        <f t="shared" si="5"/>
        <v>0</v>
      </c>
      <c r="F129" s="81">
        <f t="shared" si="5"/>
        <v>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x14ac:dyDescent="0.2">
      <c r="A130" s="80" t="s">
        <v>154</v>
      </c>
      <c r="B130" s="81" t="s">
        <v>147</v>
      </c>
      <c r="C130" s="81" t="s">
        <v>147</v>
      </c>
      <c r="D130" s="81" t="s">
        <v>147</v>
      </c>
      <c r="E130" s="81">
        <f t="shared" si="5"/>
        <v>0</v>
      </c>
      <c r="F130" s="81">
        <f t="shared" si="5"/>
        <v>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x14ac:dyDescent="0.2">
      <c r="A131" s="80" t="s">
        <v>155</v>
      </c>
      <c r="B131" s="81" t="s">
        <v>147</v>
      </c>
      <c r="C131" s="81" t="s">
        <v>16</v>
      </c>
      <c r="D131" s="81" t="s">
        <v>16</v>
      </c>
      <c r="E131" s="81">
        <f t="shared" si="5"/>
        <v>1</v>
      </c>
      <c r="F131" s="81">
        <f t="shared" si="5"/>
        <v>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15.75" customHeight="1" x14ac:dyDescent="0.2">
      <c r="A132" s="80" t="s">
        <v>156</v>
      </c>
      <c r="B132" s="81" t="s">
        <v>147</v>
      </c>
      <c r="C132" s="81" t="s">
        <v>147</v>
      </c>
      <c r="D132" s="81" t="s">
        <v>147</v>
      </c>
      <c r="E132" s="81">
        <f t="shared" ref="E132:F195" si="6">IF(B132=C132,0,1)</f>
        <v>0</v>
      </c>
      <c r="F132" s="81">
        <f t="shared" si="6"/>
        <v>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15.75" customHeight="1" x14ac:dyDescent="0.2">
      <c r="A133" s="80" t="s">
        <v>157</v>
      </c>
      <c r="B133" s="81" t="s">
        <v>147</v>
      </c>
      <c r="C133" s="81" t="s">
        <v>147</v>
      </c>
      <c r="D133" s="81" t="s">
        <v>147</v>
      </c>
      <c r="E133" s="81">
        <f t="shared" si="6"/>
        <v>0</v>
      </c>
      <c r="F133" s="81">
        <f t="shared" si="6"/>
        <v>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ht="15.75" customHeight="1" x14ac:dyDescent="0.2">
      <c r="A134" s="80" t="s">
        <v>158</v>
      </c>
      <c r="B134" s="81" t="s">
        <v>147</v>
      </c>
      <c r="C134" s="81" t="s">
        <v>147</v>
      </c>
      <c r="D134" s="81" t="s">
        <v>147</v>
      </c>
      <c r="E134" s="81">
        <f t="shared" si="6"/>
        <v>0</v>
      </c>
      <c r="F134" s="81">
        <f t="shared" si="6"/>
        <v>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ht="15.75" customHeight="1" x14ac:dyDescent="0.2">
      <c r="A135" s="80" t="s">
        <v>159</v>
      </c>
      <c r="B135" s="81" t="s">
        <v>147</v>
      </c>
      <c r="C135" s="81" t="s">
        <v>147</v>
      </c>
      <c r="D135" s="81" t="s">
        <v>147</v>
      </c>
      <c r="E135" s="81">
        <f t="shared" si="6"/>
        <v>0</v>
      </c>
      <c r="F135" s="81">
        <f t="shared" si="6"/>
        <v>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ht="15.75" customHeight="1" x14ac:dyDescent="0.2">
      <c r="A136" s="80" t="s">
        <v>160</v>
      </c>
      <c r="B136" s="81" t="s">
        <v>147</v>
      </c>
      <c r="C136" s="81" t="s">
        <v>147</v>
      </c>
      <c r="D136" s="81" t="s">
        <v>147</v>
      </c>
      <c r="E136" s="81">
        <f t="shared" si="6"/>
        <v>0</v>
      </c>
      <c r="F136" s="81">
        <f t="shared" si="6"/>
        <v>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ht="15.75" customHeight="1" x14ac:dyDescent="0.2">
      <c r="A137" s="80" t="s">
        <v>161</v>
      </c>
      <c r="B137" s="81" t="s">
        <v>147</v>
      </c>
      <c r="C137" s="81" t="s">
        <v>147</v>
      </c>
      <c r="D137" s="81" t="s">
        <v>147</v>
      </c>
      <c r="E137" s="81">
        <f t="shared" si="6"/>
        <v>0</v>
      </c>
      <c r="F137" s="81">
        <f t="shared" si="6"/>
        <v>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ht="15.75" customHeight="1" x14ac:dyDescent="0.2">
      <c r="A138" s="80" t="s">
        <v>162</v>
      </c>
      <c r="B138" s="81" t="s">
        <v>147</v>
      </c>
      <c r="C138" s="81" t="s">
        <v>147</v>
      </c>
      <c r="D138" s="81" t="s">
        <v>147</v>
      </c>
      <c r="E138" s="81">
        <f t="shared" si="6"/>
        <v>0</v>
      </c>
      <c r="F138" s="81">
        <f t="shared" si="6"/>
        <v>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x14ac:dyDescent="0.2">
      <c r="A139" s="80" t="s">
        <v>163</v>
      </c>
      <c r="B139" s="81" t="s">
        <v>147</v>
      </c>
      <c r="C139" s="81" t="s">
        <v>147</v>
      </c>
      <c r="D139" s="81" t="s">
        <v>147</v>
      </c>
      <c r="E139" s="81">
        <f t="shared" si="6"/>
        <v>0</v>
      </c>
      <c r="F139" s="81">
        <f t="shared" si="6"/>
        <v>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x14ac:dyDescent="0.2">
      <c r="A140" s="80" t="s">
        <v>164</v>
      </c>
      <c r="B140" s="81" t="s">
        <v>147</v>
      </c>
      <c r="C140" s="81" t="s">
        <v>147</v>
      </c>
      <c r="D140" s="81" t="s">
        <v>147</v>
      </c>
      <c r="E140" s="81">
        <f t="shared" si="6"/>
        <v>0</v>
      </c>
      <c r="F140" s="81">
        <f t="shared" si="6"/>
        <v>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x14ac:dyDescent="0.2">
      <c r="A141" s="80" t="s">
        <v>165</v>
      </c>
      <c r="B141" s="81" t="s">
        <v>147</v>
      </c>
      <c r="C141" s="81" t="s">
        <v>147</v>
      </c>
      <c r="D141" s="81" t="s">
        <v>147</v>
      </c>
      <c r="E141" s="81">
        <f t="shared" si="6"/>
        <v>0</v>
      </c>
      <c r="F141" s="81">
        <f t="shared" si="6"/>
        <v>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x14ac:dyDescent="0.2">
      <c r="A142" s="80" t="s">
        <v>166</v>
      </c>
      <c r="B142" s="81" t="s">
        <v>147</v>
      </c>
      <c r="C142" s="81" t="s">
        <v>147</v>
      </c>
      <c r="D142" s="81" t="s">
        <v>147</v>
      </c>
      <c r="E142" s="81">
        <f t="shared" si="6"/>
        <v>0</v>
      </c>
      <c r="F142" s="81">
        <f t="shared" si="6"/>
        <v>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x14ac:dyDescent="0.2">
      <c r="A143" s="80" t="s">
        <v>167</v>
      </c>
      <c r="B143" s="81" t="s">
        <v>147</v>
      </c>
      <c r="C143" s="81" t="s">
        <v>147</v>
      </c>
      <c r="D143" s="81" t="s">
        <v>147</v>
      </c>
      <c r="E143" s="81">
        <f t="shared" si="6"/>
        <v>0</v>
      </c>
      <c r="F143" s="81">
        <f t="shared" si="6"/>
        <v>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x14ac:dyDescent="0.2">
      <c r="A144" s="80" t="s">
        <v>168</v>
      </c>
      <c r="B144" s="81" t="s">
        <v>147</v>
      </c>
      <c r="C144" s="81" t="s">
        <v>147</v>
      </c>
      <c r="D144" s="81" t="s">
        <v>147</v>
      </c>
      <c r="E144" s="81">
        <f t="shared" si="6"/>
        <v>0</v>
      </c>
      <c r="F144" s="81">
        <f t="shared" si="6"/>
        <v>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x14ac:dyDescent="0.2">
      <c r="A145" s="80" t="s">
        <v>169</v>
      </c>
      <c r="B145" s="81" t="s">
        <v>147</v>
      </c>
      <c r="C145" s="81" t="s">
        <v>147</v>
      </c>
      <c r="D145" s="81" t="s">
        <v>147</v>
      </c>
      <c r="E145" s="81">
        <f t="shared" si="6"/>
        <v>0</v>
      </c>
      <c r="F145" s="81">
        <f t="shared" si="6"/>
        <v>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x14ac:dyDescent="0.2">
      <c r="A146" s="80" t="s">
        <v>170</v>
      </c>
      <c r="B146" s="81" t="s">
        <v>147</v>
      </c>
      <c r="C146" s="81" t="s">
        <v>147</v>
      </c>
      <c r="D146" s="81" t="s">
        <v>147</v>
      </c>
      <c r="E146" s="81">
        <f t="shared" si="6"/>
        <v>0</v>
      </c>
      <c r="F146" s="81">
        <f t="shared" si="6"/>
        <v>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x14ac:dyDescent="0.2">
      <c r="A147" s="80" t="s">
        <v>171</v>
      </c>
      <c r="B147" s="81" t="s">
        <v>147</v>
      </c>
      <c r="C147" s="81" t="s">
        <v>147</v>
      </c>
      <c r="D147" s="81" t="s">
        <v>147</v>
      </c>
      <c r="E147" s="81">
        <f t="shared" si="6"/>
        <v>0</v>
      </c>
      <c r="F147" s="81">
        <f t="shared" si="6"/>
        <v>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x14ac:dyDescent="0.2">
      <c r="A148" s="80" t="s">
        <v>172</v>
      </c>
      <c r="B148" s="81" t="s">
        <v>147</v>
      </c>
      <c r="C148" s="81" t="s">
        <v>16</v>
      </c>
      <c r="D148" s="81" t="s">
        <v>16</v>
      </c>
      <c r="E148" s="81">
        <f t="shared" si="6"/>
        <v>1</v>
      </c>
      <c r="F148" s="81">
        <f t="shared" si="6"/>
        <v>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x14ac:dyDescent="0.2">
      <c r="A149" s="80" t="s">
        <v>173</v>
      </c>
      <c r="B149" s="81" t="s">
        <v>147</v>
      </c>
      <c r="C149" s="81" t="s">
        <v>147</v>
      </c>
      <c r="D149" s="81" t="s">
        <v>147</v>
      </c>
      <c r="E149" s="81">
        <f t="shared" si="6"/>
        <v>0</v>
      </c>
      <c r="F149" s="81">
        <f t="shared" si="6"/>
        <v>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x14ac:dyDescent="0.2">
      <c r="A150" s="80" t="s">
        <v>174</v>
      </c>
      <c r="B150" s="81" t="s">
        <v>147</v>
      </c>
      <c r="C150" s="81" t="s">
        <v>147</v>
      </c>
      <c r="D150" s="81" t="s">
        <v>147</v>
      </c>
      <c r="E150" s="81">
        <f t="shared" si="6"/>
        <v>0</v>
      </c>
      <c r="F150" s="81">
        <f t="shared" si="6"/>
        <v>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x14ac:dyDescent="0.2">
      <c r="A151" s="80" t="s">
        <v>175</v>
      </c>
      <c r="B151" s="81" t="s">
        <v>147</v>
      </c>
      <c r="C151" s="81" t="s">
        <v>147</v>
      </c>
      <c r="D151" s="81" t="s">
        <v>147</v>
      </c>
      <c r="E151" s="81">
        <f t="shared" si="6"/>
        <v>0</v>
      </c>
      <c r="F151" s="81">
        <f t="shared" si="6"/>
        <v>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x14ac:dyDescent="0.2">
      <c r="A152" s="80" t="s">
        <v>176</v>
      </c>
      <c r="B152" s="81" t="s">
        <v>147</v>
      </c>
      <c r="C152" s="81" t="s">
        <v>147</v>
      </c>
      <c r="D152" s="81" t="s">
        <v>147</v>
      </c>
      <c r="E152" s="81">
        <f t="shared" si="6"/>
        <v>0</v>
      </c>
      <c r="F152" s="81">
        <f t="shared" si="6"/>
        <v>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x14ac:dyDescent="0.2">
      <c r="A153" s="80" t="s">
        <v>177</v>
      </c>
      <c r="B153" s="81" t="s">
        <v>147</v>
      </c>
      <c r="C153" s="81" t="s">
        <v>147</v>
      </c>
      <c r="D153" s="81" t="s">
        <v>147</v>
      </c>
      <c r="E153" s="81">
        <f t="shared" si="6"/>
        <v>0</v>
      </c>
      <c r="F153" s="81">
        <f t="shared" si="6"/>
        <v>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">
      <c r="A154" s="80" t="s">
        <v>178</v>
      </c>
      <c r="B154" s="81" t="s">
        <v>147</v>
      </c>
      <c r="C154" s="81" t="s">
        <v>147</v>
      </c>
      <c r="D154" s="81" t="s">
        <v>147</v>
      </c>
      <c r="E154" s="81">
        <f t="shared" si="6"/>
        <v>0</v>
      </c>
      <c r="F154" s="81">
        <f t="shared" si="6"/>
        <v>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x14ac:dyDescent="0.2">
      <c r="A155" s="80" t="s">
        <v>179</v>
      </c>
      <c r="B155" s="81" t="s">
        <v>147</v>
      </c>
      <c r="C155" s="81" t="s">
        <v>16</v>
      </c>
      <c r="D155" s="81" t="s">
        <v>16</v>
      </c>
      <c r="E155" s="81">
        <f t="shared" si="6"/>
        <v>1</v>
      </c>
      <c r="F155" s="81">
        <f t="shared" si="6"/>
        <v>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x14ac:dyDescent="0.2">
      <c r="A156" s="80" t="s">
        <v>180</v>
      </c>
      <c r="B156" s="81" t="s">
        <v>147</v>
      </c>
      <c r="C156" s="81" t="s">
        <v>147</v>
      </c>
      <c r="D156" s="81" t="s">
        <v>147</v>
      </c>
      <c r="E156" s="81">
        <f t="shared" si="6"/>
        <v>0</v>
      </c>
      <c r="F156" s="81">
        <f t="shared" si="6"/>
        <v>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x14ac:dyDescent="0.2">
      <c r="A157" s="80" t="s">
        <v>181</v>
      </c>
      <c r="B157" s="81" t="s">
        <v>147</v>
      </c>
      <c r="C157" s="81" t="s">
        <v>147</v>
      </c>
      <c r="D157" s="81" t="s">
        <v>147</v>
      </c>
      <c r="E157" s="81">
        <f t="shared" si="6"/>
        <v>0</v>
      </c>
      <c r="F157" s="81">
        <f t="shared" si="6"/>
        <v>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">
      <c r="A158" s="80" t="s">
        <v>182</v>
      </c>
      <c r="B158" s="81" t="s">
        <v>147</v>
      </c>
      <c r="C158" s="81" t="s">
        <v>147</v>
      </c>
      <c r="D158" s="81" t="s">
        <v>147</v>
      </c>
      <c r="E158" s="81">
        <f t="shared" si="6"/>
        <v>0</v>
      </c>
      <c r="F158" s="81">
        <f t="shared" si="6"/>
        <v>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x14ac:dyDescent="0.2">
      <c r="A159" s="80" t="s">
        <v>183</v>
      </c>
      <c r="B159" s="81" t="s">
        <v>147</v>
      </c>
      <c r="C159" s="81" t="s">
        <v>147</v>
      </c>
      <c r="D159" s="81" t="s">
        <v>147</v>
      </c>
      <c r="E159" s="81">
        <f t="shared" si="6"/>
        <v>0</v>
      </c>
      <c r="F159" s="81">
        <f t="shared" si="6"/>
        <v>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x14ac:dyDescent="0.2">
      <c r="A160" s="80" t="s">
        <v>184</v>
      </c>
      <c r="B160" s="81" t="s">
        <v>147</v>
      </c>
      <c r="C160" s="81" t="s">
        <v>147</v>
      </c>
      <c r="D160" s="81" t="s">
        <v>147</v>
      </c>
      <c r="E160" s="81">
        <f t="shared" si="6"/>
        <v>0</v>
      </c>
      <c r="F160" s="81">
        <f t="shared" si="6"/>
        <v>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">
      <c r="A161" s="80" t="s">
        <v>185</v>
      </c>
      <c r="B161" s="81" t="s">
        <v>147</v>
      </c>
      <c r="C161" s="81" t="s">
        <v>147</v>
      </c>
      <c r="D161" s="81" t="s">
        <v>16</v>
      </c>
      <c r="E161" s="81">
        <f t="shared" si="6"/>
        <v>0</v>
      </c>
      <c r="F161" s="81">
        <f t="shared" si="6"/>
        <v>1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">
      <c r="A162" s="80" t="s">
        <v>186</v>
      </c>
      <c r="B162" s="81" t="s">
        <v>147</v>
      </c>
      <c r="C162" s="81" t="s">
        <v>147</v>
      </c>
      <c r="D162" s="81" t="s">
        <v>147</v>
      </c>
      <c r="E162" s="81">
        <f t="shared" si="6"/>
        <v>0</v>
      </c>
      <c r="F162" s="81">
        <f t="shared" si="6"/>
        <v>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x14ac:dyDescent="0.2">
      <c r="A163" s="80" t="s">
        <v>187</v>
      </c>
      <c r="B163" s="81" t="s">
        <v>147</v>
      </c>
      <c r="C163" s="81" t="s">
        <v>147</v>
      </c>
      <c r="D163" s="81" t="s">
        <v>147</v>
      </c>
      <c r="E163" s="81">
        <f t="shared" si="6"/>
        <v>0</v>
      </c>
      <c r="F163" s="81">
        <f t="shared" si="6"/>
        <v>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x14ac:dyDescent="0.2">
      <c r="A164" s="80" t="s">
        <v>188</v>
      </c>
      <c r="B164" s="81" t="s">
        <v>147</v>
      </c>
      <c r="C164" s="81" t="s">
        <v>147</v>
      </c>
      <c r="D164" s="81" t="s">
        <v>147</v>
      </c>
      <c r="E164" s="81">
        <f t="shared" si="6"/>
        <v>0</v>
      </c>
      <c r="F164" s="81">
        <f t="shared" si="6"/>
        <v>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x14ac:dyDescent="0.2">
      <c r="A165" s="80" t="s">
        <v>189</v>
      </c>
      <c r="B165" s="81" t="s">
        <v>147</v>
      </c>
      <c r="C165" s="81" t="s">
        <v>147</v>
      </c>
      <c r="D165" s="81" t="s">
        <v>147</v>
      </c>
      <c r="E165" s="81">
        <f t="shared" si="6"/>
        <v>0</v>
      </c>
      <c r="F165" s="81">
        <f t="shared" si="6"/>
        <v>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x14ac:dyDescent="0.2">
      <c r="A166" s="80" t="s">
        <v>190</v>
      </c>
      <c r="B166" s="81" t="s">
        <v>147</v>
      </c>
      <c r="C166" s="81" t="s">
        <v>147</v>
      </c>
      <c r="D166" s="81" t="s">
        <v>147</v>
      </c>
      <c r="E166" s="81">
        <f t="shared" si="6"/>
        <v>0</v>
      </c>
      <c r="F166" s="81">
        <f t="shared" si="6"/>
        <v>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x14ac:dyDescent="0.2">
      <c r="A167" s="80" t="s">
        <v>191</v>
      </c>
      <c r="B167" s="81" t="s">
        <v>147</v>
      </c>
      <c r="C167" s="81" t="s">
        <v>147</v>
      </c>
      <c r="D167" s="81" t="s">
        <v>147</v>
      </c>
      <c r="E167" s="81">
        <f t="shared" si="6"/>
        <v>0</v>
      </c>
      <c r="F167" s="81">
        <f t="shared" si="6"/>
        <v>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">
      <c r="A168" s="80" t="s">
        <v>192</v>
      </c>
      <c r="B168" s="81" t="s">
        <v>147</v>
      </c>
      <c r="C168" s="81" t="s">
        <v>147</v>
      </c>
      <c r="D168" s="81" t="s">
        <v>147</v>
      </c>
      <c r="E168" s="81">
        <f t="shared" si="6"/>
        <v>0</v>
      </c>
      <c r="F168" s="81">
        <f t="shared" si="6"/>
        <v>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x14ac:dyDescent="0.2">
      <c r="A169" s="80" t="s">
        <v>193</v>
      </c>
      <c r="B169" s="81" t="s">
        <v>147</v>
      </c>
      <c r="C169" s="81" t="s">
        <v>147</v>
      </c>
      <c r="D169" s="81" t="s">
        <v>147</v>
      </c>
      <c r="E169" s="81">
        <f t="shared" si="6"/>
        <v>0</v>
      </c>
      <c r="F169" s="81">
        <f t="shared" si="6"/>
        <v>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x14ac:dyDescent="0.2">
      <c r="A170" s="80" t="s">
        <v>194</v>
      </c>
      <c r="B170" s="81" t="s">
        <v>147</v>
      </c>
      <c r="C170" s="81" t="s">
        <v>147</v>
      </c>
      <c r="D170" s="81" t="s">
        <v>147</v>
      </c>
      <c r="E170" s="81">
        <f t="shared" si="6"/>
        <v>0</v>
      </c>
      <c r="F170" s="81">
        <f t="shared" si="6"/>
        <v>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x14ac:dyDescent="0.2">
      <c r="A171" s="80" t="s">
        <v>195</v>
      </c>
      <c r="B171" s="81" t="s">
        <v>147</v>
      </c>
      <c r="C171" s="81" t="s">
        <v>147</v>
      </c>
      <c r="D171" s="81" t="s">
        <v>147</v>
      </c>
      <c r="E171" s="81">
        <f t="shared" si="6"/>
        <v>0</v>
      </c>
      <c r="F171" s="81">
        <f t="shared" si="6"/>
        <v>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x14ac:dyDescent="0.2">
      <c r="A172" s="80" t="s">
        <v>196</v>
      </c>
      <c r="B172" s="81" t="s">
        <v>147</v>
      </c>
      <c r="C172" s="81" t="s">
        <v>147</v>
      </c>
      <c r="D172" s="81" t="s">
        <v>147</v>
      </c>
      <c r="E172" s="81">
        <f t="shared" si="6"/>
        <v>0</v>
      </c>
      <c r="F172" s="81">
        <f t="shared" si="6"/>
        <v>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x14ac:dyDescent="0.2">
      <c r="A173" s="80" t="s">
        <v>197</v>
      </c>
      <c r="B173" s="81" t="s">
        <v>147</v>
      </c>
      <c r="C173" s="81" t="s">
        <v>147</v>
      </c>
      <c r="D173" s="81" t="s">
        <v>16</v>
      </c>
      <c r="E173" s="81">
        <f t="shared" si="6"/>
        <v>0</v>
      </c>
      <c r="F173" s="81">
        <f t="shared" si="6"/>
        <v>1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x14ac:dyDescent="0.2">
      <c r="A174" s="80" t="s">
        <v>198</v>
      </c>
      <c r="B174" s="81" t="s">
        <v>147</v>
      </c>
      <c r="C174" s="81" t="s">
        <v>147</v>
      </c>
      <c r="D174" s="81" t="s">
        <v>147</v>
      </c>
      <c r="E174" s="81">
        <f t="shared" si="6"/>
        <v>0</v>
      </c>
      <c r="F174" s="81">
        <f t="shared" si="6"/>
        <v>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x14ac:dyDescent="0.2">
      <c r="A175" s="80" t="s">
        <v>199</v>
      </c>
      <c r="B175" s="81" t="s">
        <v>147</v>
      </c>
      <c r="C175" s="81" t="s">
        <v>147</v>
      </c>
      <c r="D175" s="81" t="s">
        <v>147</v>
      </c>
      <c r="E175" s="81">
        <f t="shared" si="6"/>
        <v>0</v>
      </c>
      <c r="F175" s="81">
        <f t="shared" si="6"/>
        <v>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x14ac:dyDescent="0.2">
      <c r="A176" s="80" t="s">
        <v>200</v>
      </c>
      <c r="B176" s="81" t="s">
        <v>147</v>
      </c>
      <c r="C176" s="81" t="s">
        <v>147</v>
      </c>
      <c r="D176" s="81" t="s">
        <v>147</v>
      </c>
      <c r="E176" s="81">
        <f t="shared" si="6"/>
        <v>0</v>
      </c>
      <c r="F176" s="81">
        <f t="shared" si="6"/>
        <v>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x14ac:dyDescent="0.2">
      <c r="A177" s="80" t="s">
        <v>201</v>
      </c>
      <c r="B177" s="81" t="s">
        <v>147</v>
      </c>
      <c r="C177" s="81" t="s">
        <v>147</v>
      </c>
      <c r="D177" s="81" t="s">
        <v>147</v>
      </c>
      <c r="E177" s="81">
        <f t="shared" si="6"/>
        <v>0</v>
      </c>
      <c r="F177" s="81">
        <f t="shared" si="6"/>
        <v>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x14ac:dyDescent="0.2">
      <c r="A178" s="80" t="s">
        <v>202</v>
      </c>
      <c r="B178" s="81" t="s">
        <v>147</v>
      </c>
      <c r="C178" s="81" t="s">
        <v>147</v>
      </c>
      <c r="D178" s="81" t="s">
        <v>147</v>
      </c>
      <c r="E178" s="81">
        <f t="shared" si="6"/>
        <v>0</v>
      </c>
      <c r="F178" s="81">
        <f t="shared" si="6"/>
        <v>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x14ac:dyDescent="0.2">
      <c r="A179" s="80" t="s">
        <v>203</v>
      </c>
      <c r="B179" s="81" t="s">
        <v>147</v>
      </c>
      <c r="C179" s="81" t="s">
        <v>147</v>
      </c>
      <c r="D179" s="81" t="s">
        <v>147</v>
      </c>
      <c r="E179" s="81">
        <f t="shared" si="6"/>
        <v>0</v>
      </c>
      <c r="F179" s="81">
        <f t="shared" si="6"/>
        <v>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x14ac:dyDescent="0.2">
      <c r="A180" s="80" t="s">
        <v>204</v>
      </c>
      <c r="B180" s="81" t="s">
        <v>147</v>
      </c>
      <c r="C180" s="81" t="s">
        <v>147</v>
      </c>
      <c r="D180" s="81" t="s">
        <v>16</v>
      </c>
      <c r="E180" s="81">
        <f t="shared" si="6"/>
        <v>0</v>
      </c>
      <c r="F180" s="81">
        <f t="shared" si="6"/>
        <v>1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x14ac:dyDescent="0.2">
      <c r="A181" s="80" t="s">
        <v>205</v>
      </c>
      <c r="B181" s="81" t="s">
        <v>147</v>
      </c>
      <c r="C181" s="81" t="s">
        <v>147</v>
      </c>
      <c r="D181" s="81" t="s">
        <v>147</v>
      </c>
      <c r="E181" s="81">
        <f t="shared" si="6"/>
        <v>0</v>
      </c>
      <c r="F181" s="81">
        <f t="shared" si="6"/>
        <v>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x14ac:dyDescent="0.2">
      <c r="A182" s="80" t="s">
        <v>206</v>
      </c>
      <c r="B182" s="81" t="s">
        <v>147</v>
      </c>
      <c r="C182" s="81" t="s">
        <v>147</v>
      </c>
      <c r="D182" s="81" t="s">
        <v>147</v>
      </c>
      <c r="E182" s="81">
        <f t="shared" si="6"/>
        <v>0</v>
      </c>
      <c r="F182" s="81">
        <f t="shared" si="6"/>
        <v>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x14ac:dyDescent="0.2">
      <c r="A183" s="80" t="s">
        <v>207</v>
      </c>
      <c r="B183" s="81" t="s">
        <v>147</v>
      </c>
      <c r="C183" s="81" t="s">
        <v>147</v>
      </c>
      <c r="D183" s="81" t="s">
        <v>147</v>
      </c>
      <c r="E183" s="81">
        <f t="shared" si="6"/>
        <v>0</v>
      </c>
      <c r="F183" s="81">
        <f t="shared" si="6"/>
        <v>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x14ac:dyDescent="0.2">
      <c r="A184" s="80" t="s">
        <v>208</v>
      </c>
      <c r="B184" s="81" t="s">
        <v>147</v>
      </c>
      <c r="C184" s="81" t="s">
        <v>147</v>
      </c>
      <c r="D184" s="81" t="s">
        <v>147</v>
      </c>
      <c r="E184" s="81">
        <f t="shared" si="6"/>
        <v>0</v>
      </c>
      <c r="F184" s="81">
        <f t="shared" si="6"/>
        <v>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x14ac:dyDescent="0.2">
      <c r="A185" s="80" t="s">
        <v>209</v>
      </c>
      <c r="B185" s="81" t="s">
        <v>147</v>
      </c>
      <c r="C185" s="81" t="s">
        <v>147</v>
      </c>
      <c r="D185" s="81" t="s">
        <v>147</v>
      </c>
      <c r="E185" s="81">
        <f t="shared" si="6"/>
        <v>0</v>
      </c>
      <c r="F185" s="81">
        <f t="shared" si="6"/>
        <v>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x14ac:dyDescent="0.2">
      <c r="A186" s="80" t="s">
        <v>210</v>
      </c>
      <c r="B186" s="81" t="s">
        <v>147</v>
      </c>
      <c r="C186" s="81" t="s">
        <v>147</v>
      </c>
      <c r="D186" s="81" t="s">
        <v>147</v>
      </c>
      <c r="E186" s="81">
        <f t="shared" si="6"/>
        <v>0</v>
      </c>
      <c r="F186" s="81">
        <f t="shared" si="6"/>
        <v>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x14ac:dyDescent="0.2">
      <c r="A187" s="80" t="s">
        <v>211</v>
      </c>
      <c r="B187" s="81" t="s">
        <v>147</v>
      </c>
      <c r="C187" s="81" t="s">
        <v>147</v>
      </c>
      <c r="D187" s="81" t="s">
        <v>147</v>
      </c>
      <c r="E187" s="81">
        <f t="shared" si="6"/>
        <v>0</v>
      </c>
      <c r="F187" s="81">
        <f t="shared" si="6"/>
        <v>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x14ac:dyDescent="0.2">
      <c r="A188" s="80" t="s">
        <v>212</v>
      </c>
      <c r="B188" s="81" t="s">
        <v>147</v>
      </c>
      <c r="C188" s="81" t="s">
        <v>147</v>
      </c>
      <c r="D188" s="81" t="s">
        <v>147</v>
      </c>
      <c r="E188" s="81">
        <f t="shared" si="6"/>
        <v>0</v>
      </c>
      <c r="F188" s="81">
        <f t="shared" si="6"/>
        <v>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x14ac:dyDescent="0.2">
      <c r="A189" s="80" t="s">
        <v>213</v>
      </c>
      <c r="B189" s="81" t="s">
        <v>147</v>
      </c>
      <c r="C189" s="81" t="s">
        <v>147</v>
      </c>
      <c r="D189" s="81" t="s">
        <v>16</v>
      </c>
      <c r="E189" s="81">
        <f t="shared" si="6"/>
        <v>0</v>
      </c>
      <c r="F189" s="81">
        <f t="shared" si="6"/>
        <v>1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x14ac:dyDescent="0.2">
      <c r="A190" s="80" t="s">
        <v>214</v>
      </c>
      <c r="B190" s="81" t="s">
        <v>147</v>
      </c>
      <c r="C190" s="81" t="s">
        <v>147</v>
      </c>
      <c r="D190" s="81" t="s">
        <v>147</v>
      </c>
      <c r="E190" s="81">
        <f t="shared" si="6"/>
        <v>0</v>
      </c>
      <c r="F190" s="81">
        <f t="shared" si="6"/>
        <v>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x14ac:dyDescent="0.2">
      <c r="A191" s="80" t="s">
        <v>215</v>
      </c>
      <c r="B191" s="81" t="s">
        <v>147</v>
      </c>
      <c r="C191" s="81" t="s">
        <v>147</v>
      </c>
      <c r="D191" s="81" t="s">
        <v>147</v>
      </c>
      <c r="E191" s="81">
        <f t="shared" si="6"/>
        <v>0</v>
      </c>
      <c r="F191" s="81">
        <f t="shared" si="6"/>
        <v>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x14ac:dyDescent="0.2">
      <c r="A192" s="80" t="s">
        <v>216</v>
      </c>
      <c r="B192" s="81" t="s">
        <v>147</v>
      </c>
      <c r="C192" s="81" t="s">
        <v>147</v>
      </c>
      <c r="D192" s="81" t="s">
        <v>147</v>
      </c>
      <c r="E192" s="81">
        <f t="shared" si="6"/>
        <v>0</v>
      </c>
      <c r="F192" s="81">
        <f t="shared" si="6"/>
        <v>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x14ac:dyDescent="0.2">
      <c r="A193" s="80" t="s">
        <v>217</v>
      </c>
      <c r="B193" s="81" t="s">
        <v>147</v>
      </c>
      <c r="C193" s="81" t="s">
        <v>147</v>
      </c>
      <c r="D193" s="81" t="s">
        <v>147</v>
      </c>
      <c r="E193" s="81">
        <f t="shared" si="6"/>
        <v>0</v>
      </c>
      <c r="F193" s="81">
        <f t="shared" si="6"/>
        <v>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x14ac:dyDescent="0.2">
      <c r="A194" s="80" t="s">
        <v>218</v>
      </c>
      <c r="B194" s="81" t="s">
        <v>147</v>
      </c>
      <c r="C194" s="81" t="s">
        <v>147</v>
      </c>
      <c r="D194" s="81" t="s">
        <v>147</v>
      </c>
      <c r="E194" s="81">
        <f t="shared" si="6"/>
        <v>0</v>
      </c>
      <c r="F194" s="81">
        <f t="shared" si="6"/>
        <v>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x14ac:dyDescent="0.2">
      <c r="A195" s="80" t="s">
        <v>219</v>
      </c>
      <c r="B195" s="81" t="s">
        <v>147</v>
      </c>
      <c r="C195" s="81" t="s">
        <v>147</v>
      </c>
      <c r="D195" s="81" t="s">
        <v>147</v>
      </c>
      <c r="E195" s="81">
        <f t="shared" si="6"/>
        <v>0</v>
      </c>
      <c r="F195" s="81">
        <f t="shared" si="6"/>
        <v>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x14ac:dyDescent="0.2">
      <c r="A196" s="80" t="s">
        <v>220</v>
      </c>
      <c r="B196" s="81" t="s">
        <v>147</v>
      </c>
      <c r="C196" s="81" t="s">
        <v>147</v>
      </c>
      <c r="D196" s="81" t="s">
        <v>147</v>
      </c>
      <c r="E196" s="81">
        <f t="shared" ref="E196:F222" si="7">IF(B196=C196,0,1)</f>
        <v>0</v>
      </c>
      <c r="F196" s="81">
        <f t="shared" si="7"/>
        <v>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x14ac:dyDescent="0.2">
      <c r="A197" s="80" t="s">
        <v>221</v>
      </c>
      <c r="B197" s="81" t="s">
        <v>147</v>
      </c>
      <c r="C197" s="81" t="s">
        <v>147</v>
      </c>
      <c r="D197" s="81" t="s">
        <v>147</v>
      </c>
      <c r="E197" s="81">
        <f t="shared" si="7"/>
        <v>0</v>
      </c>
      <c r="F197" s="81">
        <f t="shared" si="7"/>
        <v>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x14ac:dyDescent="0.2">
      <c r="A198" s="80" t="s">
        <v>222</v>
      </c>
      <c r="B198" s="81" t="s">
        <v>147</v>
      </c>
      <c r="C198" s="81" t="s">
        <v>16</v>
      </c>
      <c r="D198" s="81" t="s">
        <v>16</v>
      </c>
      <c r="E198" s="81">
        <f t="shared" si="7"/>
        <v>1</v>
      </c>
      <c r="F198" s="81">
        <f t="shared" si="7"/>
        <v>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x14ac:dyDescent="0.2">
      <c r="A199" s="80" t="s">
        <v>223</v>
      </c>
      <c r="B199" s="81" t="s">
        <v>147</v>
      </c>
      <c r="C199" s="81" t="s">
        <v>16</v>
      </c>
      <c r="D199" s="81" t="s">
        <v>16</v>
      </c>
      <c r="E199" s="81">
        <f t="shared" si="7"/>
        <v>1</v>
      </c>
      <c r="F199" s="81">
        <f t="shared" si="7"/>
        <v>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x14ac:dyDescent="0.2">
      <c r="A200" s="80" t="s">
        <v>224</v>
      </c>
      <c r="B200" s="81" t="s">
        <v>147</v>
      </c>
      <c r="C200" s="81" t="s">
        <v>147</v>
      </c>
      <c r="D200" s="81" t="s">
        <v>147</v>
      </c>
      <c r="E200" s="81">
        <f t="shared" si="7"/>
        <v>0</v>
      </c>
      <c r="F200" s="81">
        <f t="shared" si="7"/>
        <v>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x14ac:dyDescent="0.2">
      <c r="A201" s="80" t="s">
        <v>225</v>
      </c>
      <c r="B201" s="81" t="s">
        <v>147</v>
      </c>
      <c r="C201" s="81" t="s">
        <v>147</v>
      </c>
      <c r="D201" s="81" t="s">
        <v>147</v>
      </c>
      <c r="E201" s="81">
        <f t="shared" si="7"/>
        <v>0</v>
      </c>
      <c r="F201" s="81">
        <f t="shared" si="7"/>
        <v>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ht="16" thickBot="1" x14ac:dyDescent="0.25">
      <c r="A202" s="82" t="s">
        <v>226</v>
      </c>
      <c r="B202" s="83" t="s">
        <v>147</v>
      </c>
      <c r="C202" s="83" t="s">
        <v>147</v>
      </c>
      <c r="D202" s="83" t="s">
        <v>147</v>
      </c>
      <c r="E202" s="83">
        <f t="shared" si="7"/>
        <v>0</v>
      </c>
      <c r="F202" s="83">
        <f t="shared" si="7"/>
        <v>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ht="15.75" customHeight="1" x14ac:dyDescent="0.2">
      <c r="A203" s="84" t="s">
        <v>375</v>
      </c>
      <c r="B203" s="85" t="s">
        <v>376</v>
      </c>
      <c r="C203" s="85" t="s">
        <v>376</v>
      </c>
      <c r="D203" s="85" t="s">
        <v>376</v>
      </c>
      <c r="E203" s="85">
        <f t="shared" si="7"/>
        <v>0</v>
      </c>
      <c r="F203" s="85">
        <f t="shared" si="7"/>
        <v>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ht="15.75" customHeight="1" x14ac:dyDescent="0.2">
      <c r="A204" s="86" t="s">
        <v>377</v>
      </c>
      <c r="B204" s="87" t="s">
        <v>376</v>
      </c>
      <c r="C204" s="87" t="s">
        <v>376</v>
      </c>
      <c r="D204" s="87" t="s">
        <v>376</v>
      </c>
      <c r="E204" s="87">
        <f t="shared" si="7"/>
        <v>0</v>
      </c>
      <c r="F204" s="87">
        <f t="shared" si="7"/>
        <v>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ht="15.75" customHeight="1" x14ac:dyDescent="0.2">
      <c r="A205" s="86" t="s">
        <v>378</v>
      </c>
      <c r="B205" s="87" t="s">
        <v>376</v>
      </c>
      <c r="C205" s="87" t="s">
        <v>376</v>
      </c>
      <c r="D205" s="87" t="s">
        <v>376</v>
      </c>
      <c r="E205" s="87">
        <f t="shared" si="7"/>
        <v>0</v>
      </c>
      <c r="F205" s="87">
        <f t="shared" si="7"/>
        <v>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ht="15.75" customHeight="1" x14ac:dyDescent="0.2">
      <c r="A206" s="86" t="s">
        <v>379</v>
      </c>
      <c r="B206" s="87" t="s">
        <v>376</v>
      </c>
      <c r="C206" s="87" t="s">
        <v>376</v>
      </c>
      <c r="D206" s="87" t="s">
        <v>376</v>
      </c>
      <c r="E206" s="87">
        <f t="shared" si="7"/>
        <v>0</v>
      </c>
      <c r="F206" s="87">
        <f t="shared" si="7"/>
        <v>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ht="15.75" customHeight="1" x14ac:dyDescent="0.2">
      <c r="A207" s="86" t="s">
        <v>380</v>
      </c>
      <c r="B207" s="87" t="s">
        <v>376</v>
      </c>
      <c r="C207" s="87" t="s">
        <v>376</v>
      </c>
      <c r="D207" s="87" t="s">
        <v>376</v>
      </c>
      <c r="E207" s="87">
        <f t="shared" si="7"/>
        <v>0</v>
      </c>
      <c r="F207" s="87">
        <f t="shared" si="7"/>
        <v>0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ht="15.75" customHeight="1" x14ac:dyDescent="0.2">
      <c r="A208" s="86" t="s">
        <v>381</v>
      </c>
      <c r="B208" s="87" t="s">
        <v>376</v>
      </c>
      <c r="C208" s="87" t="s">
        <v>376</v>
      </c>
      <c r="D208" s="87" t="s">
        <v>376</v>
      </c>
      <c r="E208" s="87">
        <f t="shared" si="7"/>
        <v>0</v>
      </c>
      <c r="F208" s="87">
        <f t="shared" si="7"/>
        <v>0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ht="15.75" customHeight="1" x14ac:dyDescent="0.2">
      <c r="A209" s="86" t="s">
        <v>382</v>
      </c>
      <c r="B209" s="87" t="s">
        <v>376</v>
      </c>
      <c r="C209" s="87" t="s">
        <v>376</v>
      </c>
      <c r="D209" s="87" t="s">
        <v>376</v>
      </c>
      <c r="E209" s="87">
        <f t="shared" si="7"/>
        <v>0</v>
      </c>
      <c r="F209" s="87">
        <f t="shared" si="7"/>
        <v>0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ht="15.75" customHeight="1" x14ac:dyDescent="0.2">
      <c r="A210" s="86" t="s">
        <v>383</v>
      </c>
      <c r="B210" s="87" t="s">
        <v>376</v>
      </c>
      <c r="C210" s="87" t="s">
        <v>376</v>
      </c>
      <c r="D210" s="87" t="s">
        <v>376</v>
      </c>
      <c r="E210" s="87">
        <f t="shared" si="7"/>
        <v>0</v>
      </c>
      <c r="F210" s="87">
        <f t="shared" si="7"/>
        <v>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ht="15.75" customHeight="1" x14ac:dyDescent="0.2">
      <c r="A211" s="86" t="s">
        <v>384</v>
      </c>
      <c r="B211" s="87" t="s">
        <v>376</v>
      </c>
      <c r="C211" s="87" t="s">
        <v>376</v>
      </c>
      <c r="D211" s="87" t="s">
        <v>376</v>
      </c>
      <c r="E211" s="87">
        <f t="shared" si="7"/>
        <v>0</v>
      </c>
      <c r="F211" s="87">
        <f t="shared" si="7"/>
        <v>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ht="15.75" customHeight="1" x14ac:dyDescent="0.2">
      <c r="A212" s="86" t="s">
        <v>385</v>
      </c>
      <c r="B212" s="87" t="s">
        <v>376</v>
      </c>
      <c r="C212" s="87" t="s">
        <v>376</v>
      </c>
      <c r="D212" s="87" t="s">
        <v>376</v>
      </c>
      <c r="E212" s="87">
        <f t="shared" si="7"/>
        <v>0</v>
      </c>
      <c r="F212" s="87">
        <f t="shared" si="7"/>
        <v>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ht="15.75" customHeight="1" x14ac:dyDescent="0.2">
      <c r="A213" s="86" t="s">
        <v>386</v>
      </c>
      <c r="B213" s="87" t="s">
        <v>376</v>
      </c>
      <c r="C213" s="87" t="s">
        <v>376</v>
      </c>
      <c r="D213" s="87" t="s">
        <v>376</v>
      </c>
      <c r="E213" s="87">
        <f t="shared" si="7"/>
        <v>0</v>
      </c>
      <c r="F213" s="87">
        <f t="shared" si="7"/>
        <v>0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ht="15.75" customHeight="1" x14ac:dyDescent="0.2">
      <c r="A214" s="86" t="s">
        <v>387</v>
      </c>
      <c r="B214" s="87" t="s">
        <v>376</v>
      </c>
      <c r="C214" s="87" t="s">
        <v>376</v>
      </c>
      <c r="D214" s="87" t="s">
        <v>376</v>
      </c>
      <c r="E214" s="87">
        <f t="shared" si="7"/>
        <v>0</v>
      </c>
      <c r="F214" s="87">
        <f t="shared" si="7"/>
        <v>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ht="15.75" customHeight="1" x14ac:dyDescent="0.2">
      <c r="A215" s="86" t="s">
        <v>388</v>
      </c>
      <c r="B215" s="87" t="s">
        <v>376</v>
      </c>
      <c r="C215" s="87" t="s">
        <v>376</v>
      </c>
      <c r="D215" s="87" t="s">
        <v>376</v>
      </c>
      <c r="E215" s="87">
        <f t="shared" si="7"/>
        <v>0</v>
      </c>
      <c r="F215" s="87">
        <f t="shared" si="7"/>
        <v>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ht="15.75" customHeight="1" x14ac:dyDescent="0.2">
      <c r="A216" s="86" t="s">
        <v>389</v>
      </c>
      <c r="B216" s="87" t="s">
        <v>376</v>
      </c>
      <c r="C216" s="87" t="s">
        <v>376</v>
      </c>
      <c r="D216" s="87" t="s">
        <v>376</v>
      </c>
      <c r="E216" s="87">
        <f t="shared" si="7"/>
        <v>0</v>
      </c>
      <c r="F216" s="87">
        <f t="shared" si="7"/>
        <v>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ht="15.75" customHeight="1" x14ac:dyDescent="0.2">
      <c r="A217" s="86" t="s">
        <v>390</v>
      </c>
      <c r="B217" s="87" t="s">
        <v>376</v>
      </c>
      <c r="C217" s="87" t="s">
        <v>376</v>
      </c>
      <c r="D217" s="87" t="s">
        <v>376</v>
      </c>
      <c r="E217" s="87">
        <f t="shared" si="7"/>
        <v>0</v>
      </c>
      <c r="F217" s="87">
        <f t="shared" si="7"/>
        <v>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ht="15.75" customHeight="1" x14ac:dyDescent="0.2">
      <c r="A218" s="86" t="s">
        <v>391</v>
      </c>
      <c r="B218" s="87" t="s">
        <v>376</v>
      </c>
      <c r="C218" s="87" t="s">
        <v>376</v>
      </c>
      <c r="D218" s="87" t="s">
        <v>376</v>
      </c>
      <c r="E218" s="87">
        <f t="shared" si="7"/>
        <v>0</v>
      </c>
      <c r="F218" s="87">
        <f t="shared" si="7"/>
        <v>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ht="15.75" customHeight="1" x14ac:dyDescent="0.2">
      <c r="A219" s="86" t="s">
        <v>392</v>
      </c>
      <c r="B219" s="87" t="s">
        <v>376</v>
      </c>
      <c r="C219" s="87" t="s">
        <v>376</v>
      </c>
      <c r="D219" s="87" t="s">
        <v>376</v>
      </c>
      <c r="E219" s="87">
        <f t="shared" si="7"/>
        <v>0</v>
      </c>
      <c r="F219" s="87">
        <f t="shared" si="7"/>
        <v>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ht="15.75" customHeight="1" x14ac:dyDescent="0.2">
      <c r="A220" s="86" t="s">
        <v>393</v>
      </c>
      <c r="B220" s="87" t="s">
        <v>376</v>
      </c>
      <c r="C220" s="87" t="s">
        <v>376</v>
      </c>
      <c r="D220" s="87" t="s">
        <v>376</v>
      </c>
      <c r="E220" s="87">
        <f t="shared" si="7"/>
        <v>0</v>
      </c>
      <c r="F220" s="87">
        <f t="shared" si="7"/>
        <v>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ht="15.75" customHeight="1" x14ac:dyDescent="0.2">
      <c r="A221" s="86" t="s">
        <v>394</v>
      </c>
      <c r="B221" s="87" t="s">
        <v>376</v>
      </c>
      <c r="C221" s="87" t="s">
        <v>376</v>
      </c>
      <c r="D221" s="87" t="s">
        <v>376</v>
      </c>
      <c r="E221" s="87">
        <f t="shared" si="7"/>
        <v>0</v>
      </c>
      <c r="F221" s="87">
        <f t="shared" si="7"/>
        <v>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ht="15.75" customHeight="1" thickBot="1" x14ac:dyDescent="0.25">
      <c r="A222" s="88" t="s">
        <v>395</v>
      </c>
      <c r="B222" s="89" t="s">
        <v>376</v>
      </c>
      <c r="C222" s="89" t="s">
        <v>376</v>
      </c>
      <c r="D222" s="89" t="s">
        <v>376</v>
      </c>
      <c r="E222" s="89">
        <f t="shared" si="7"/>
        <v>0</v>
      </c>
      <c r="F222" s="89">
        <f t="shared" si="7"/>
        <v>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1:33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1:33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33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1:33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1:33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1:33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1:33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1:33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1:33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1:33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1:33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1:33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1:33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1:33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1:33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1:33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1:33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1:33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1:33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1:33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1:33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1:33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1:33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1:33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1:33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1:33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1:33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33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33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1:33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1:33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1:33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3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1:33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1:33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1:33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1:33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1:33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1:33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1:33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1:33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1:33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1:33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1:33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1:33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1:33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1:33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1:33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1:33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1:33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1:33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1:33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1:33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1:33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1:33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1:33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1:33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1:33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1:33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1:33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1:33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1:33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1:33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1:33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1:33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1:33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1:33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1:33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1:33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1:33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1:33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1:33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1:33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1:33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1:33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1:33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1:33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1:33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1:33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1:33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1:33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1:33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1:33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1:33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1:33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1:33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1:33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1:33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33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1:33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1:33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1:33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1:33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1:33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1:33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1:33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1:33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1:33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1:33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1:33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1:33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1:33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1:33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1:33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1:33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1:33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1:33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1:33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1:33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1:33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1:33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1:33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1:33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1:33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1:33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1:33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1:33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1:33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1:33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1:33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1:33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1:33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1:33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1:33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1:33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1:33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1:33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1:33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1:33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1:33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1:33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1:33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1:33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1:33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1:33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1:33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1:33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1:33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1:33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1:33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1:33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1:33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1:33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1:33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1:33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1:33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1:33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1:33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1:33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1:33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1:33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1:33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1:33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1:33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1:33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1:33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1:33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1:33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1:33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1:33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1:33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1:33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1:33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1:33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1:33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1:33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1:33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1:33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1:33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1:33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1:33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1:33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1:33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1:33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1:33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1:33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1:33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1:33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1:33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1:33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1:33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1:33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1:33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1:33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1:33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1:33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1:33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1:33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1:33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1:33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1:33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1:33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1:33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1:33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1:33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1:33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1:33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1:33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1:33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1:33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1:33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1:33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1:33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1:33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1:33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1:33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1:33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1:33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1:33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1:33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1:33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1:33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1:33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1:33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1:33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1:33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1:33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1:33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1:33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1:33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1:33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1:33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1:33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1:33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1:33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1:33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1:33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1:33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1:33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1:33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1:33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1:33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1:33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1:33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1:33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1:33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1:33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1:33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1:33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1:33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1:33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1:33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1:33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1:33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1:33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1:33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1:33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1:33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1:33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1:33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1:33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1:33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1:33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1:33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1:33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1:33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1:33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1:33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1:33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1:33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1:33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1:33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1:33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1:33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1:33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1:33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1:33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1:33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1:33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1:33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1:33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1:33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1:33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1:33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1:33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1:33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1:33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1:33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1:33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1:33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1:33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1:33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1:33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1:33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1:33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1:33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1:33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1:33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1:33" ht="15.7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1:33" ht="15.7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1:33" ht="15.7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1:33" ht="15.75" customHeight="1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1:33" ht="15.75" customHeight="1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1:33" ht="15.75" customHeight="1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1:33" ht="15.75" customHeight="1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1:33" ht="15.75" customHeight="1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1:33" ht="15.75" customHeight="1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1:33" ht="15.75" customHeight="1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1:33" ht="15.75" customHeight="1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  <row r="1012" spans="1:33" ht="15.75" customHeight="1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</row>
    <row r="1013" spans="1:33" ht="15.75" customHeight="1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</row>
    <row r="1014" spans="1:33" ht="15.75" customHeight="1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</row>
    <row r="1015" spans="1:33" ht="15.75" customHeight="1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</row>
    <row r="1016" spans="1:33" ht="15.75" customHeight="1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</row>
    <row r="1017" spans="1:33" ht="15.75" customHeight="1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</row>
    <row r="1018" spans="1:33" ht="15.75" customHeight="1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</row>
    <row r="1019" spans="1:33" ht="15.75" customHeight="1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</row>
    <row r="1020" spans="1:33" ht="15.75" customHeight="1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</row>
    <row r="1021" spans="1:33" ht="15.75" customHeight="1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</row>
    <row r="1022" spans="1:33" ht="15.75" customHeight="1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</row>
    <row r="1023" spans="1:33" ht="15.75" customHeight="1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</row>
    <row r="1024" spans="1:33" ht="15.75" customHeight="1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</row>
    <row r="1025" spans="1:33" ht="15.75" customHeight="1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</row>
    <row r="1026" spans="1:33" ht="15.75" customHeight="1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</row>
    <row r="1027" spans="1:33" ht="15.75" customHeight="1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</row>
    <row r="1028" spans="1:33" ht="15.75" customHeight="1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</row>
    <row r="1029" spans="1:33" ht="15.75" customHeight="1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</row>
    <row r="1030" spans="1:33" ht="15.75" customHeight="1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</row>
    <row r="1031" spans="1:33" ht="15.75" customHeight="1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</row>
    <row r="1032" spans="1:33" ht="15.75" customHeight="1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</row>
    <row r="1033" spans="1:33" ht="15.75" customHeight="1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</row>
    <row r="1034" spans="1:33" ht="15.75" customHeight="1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</row>
    <row r="1035" spans="1:33" ht="15.75" customHeight="1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</row>
    <row r="1036" spans="1:33" ht="15.75" customHeight="1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</row>
    <row r="1037" spans="1:33" ht="15.75" customHeight="1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</row>
    <row r="1038" spans="1:33" ht="15.75" customHeight="1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</row>
    <row r="1039" spans="1:33" ht="15.75" customHeight="1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</row>
    <row r="1040" spans="1:33" ht="15.75" customHeight="1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</row>
    <row r="1041" spans="1:33" ht="15.75" customHeight="1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</row>
    <row r="1042" spans="1:33" ht="15.75" customHeight="1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</row>
    <row r="1043" spans="1:33" ht="15.75" customHeight="1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</row>
    <row r="1044" spans="1:33" ht="15.75" customHeight="1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</row>
    <row r="1045" spans="1:33" ht="15.75" customHeight="1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</row>
    <row r="1046" spans="1:33" ht="15.75" customHeight="1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</row>
    <row r="1047" spans="1:33" ht="15.75" customHeight="1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</row>
    <row r="1048" spans="1:33" ht="15.75" customHeight="1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</row>
    <row r="1049" spans="1:33" ht="15.75" customHeight="1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</row>
    <row r="1050" spans="1:33" ht="15.75" customHeight="1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</row>
    <row r="1051" spans="1:33" ht="15.75" customHeight="1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</row>
    <row r="1052" spans="1:33" ht="15.75" customHeight="1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</row>
    <row r="1053" spans="1:33" ht="15.75" customHeight="1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</row>
    <row r="1054" spans="1:33" ht="15.75" customHeight="1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</row>
    <row r="1055" spans="1:33" ht="15.75" customHeight="1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</row>
    <row r="1056" spans="1:33" ht="15.75" customHeight="1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</row>
    <row r="1057" spans="1:33" ht="15.75" customHeight="1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</row>
    <row r="1058" spans="1:33" ht="15.75" customHeight="1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</row>
    <row r="1059" spans="1:33" ht="15.75" customHeight="1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</row>
    <row r="1060" spans="1:33" ht="15.75" customHeight="1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</row>
    <row r="1061" spans="1:33" ht="15.75" customHeight="1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</row>
    <row r="1062" spans="1:33" ht="15.75" customHeight="1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</row>
    <row r="1063" spans="1:33" ht="15.75" customHeight="1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</row>
    <row r="1064" spans="1:33" ht="15.75" customHeight="1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</row>
    <row r="1065" spans="1:33" ht="15.75" customHeight="1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</row>
    <row r="1066" spans="1:33" ht="15.75" customHeight="1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</row>
    <row r="1067" spans="1:33" ht="15.75" customHeight="1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</row>
    <row r="1068" spans="1:33" ht="15.75" customHeight="1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</row>
    <row r="1069" spans="1:33" ht="15.75" customHeight="1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</row>
    <row r="1070" spans="1:33" ht="15.75" customHeight="1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</row>
    <row r="1071" spans="1:33" ht="15.75" customHeight="1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</row>
    <row r="1072" spans="1:33" ht="15.75" customHeight="1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</row>
    <row r="1073" spans="1:33" ht="15.75" customHeight="1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</row>
    <row r="1074" spans="1:33" ht="15.75" customHeight="1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</row>
    <row r="1075" spans="1:33" ht="15.75" customHeight="1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</row>
    <row r="1076" spans="1:33" ht="15.75" customHeight="1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</row>
    <row r="1077" spans="1:33" ht="15.75" customHeight="1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</row>
    <row r="1078" spans="1:33" ht="15.75" customHeight="1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</row>
    <row r="1079" spans="1:33" ht="15.75" customHeight="1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</row>
    <row r="1080" spans="1:33" ht="15.75" customHeight="1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</row>
    <row r="1081" spans="1:33" ht="15.75" customHeight="1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</row>
    <row r="1082" spans="1:33" ht="15.75" customHeight="1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</row>
    <row r="1083" spans="1:33" ht="15.75" customHeight="1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</row>
    <row r="1084" spans="1:33" ht="15.75" customHeight="1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</row>
    <row r="1085" spans="1:33" ht="15.75" customHeight="1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</row>
    <row r="1086" spans="1:33" ht="15.75" customHeight="1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</row>
    <row r="1087" spans="1:33" ht="15.75" customHeight="1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</row>
    <row r="1088" spans="1:33" ht="15.75" customHeight="1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</row>
    <row r="1089" spans="1:33" ht="15.75" customHeight="1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</row>
    <row r="1090" spans="1:33" ht="15.75" customHeight="1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</row>
    <row r="1091" spans="1:33" ht="15.75" customHeight="1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</row>
    <row r="1092" spans="1:33" ht="15.75" customHeight="1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</row>
    <row r="1093" spans="1:33" ht="15.75" customHeight="1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</row>
    <row r="1094" spans="1:33" ht="15.75" customHeight="1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</row>
    <row r="1095" spans="1:33" ht="15.75" customHeight="1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</row>
    <row r="1096" spans="1:33" ht="15.75" customHeight="1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</row>
    <row r="1097" spans="1:33" ht="15.75" customHeight="1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</row>
    <row r="1098" spans="1:33" ht="15.75" customHeight="1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</row>
    <row r="1099" spans="1:33" ht="15.75" customHeight="1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</row>
    <row r="1100" spans="1:33" ht="15.75" customHeight="1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</row>
    <row r="1101" spans="1:33" ht="15.75" customHeight="1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</row>
    <row r="1102" spans="1:33" ht="15.75" customHeight="1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</row>
    <row r="1103" spans="1:33" ht="15.75" customHeight="1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</row>
    <row r="1104" spans="1:33" ht="15.75" customHeight="1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</row>
    <row r="1105" spans="1:33" ht="15.75" customHeight="1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</row>
    <row r="1106" spans="1:33" ht="15.75" customHeight="1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</row>
    <row r="1107" spans="1:33" ht="15.75" customHeight="1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</row>
    <row r="1108" spans="1:33" ht="15.75" customHeight="1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</row>
    <row r="1109" spans="1:33" ht="15.75" customHeight="1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</row>
    <row r="1110" spans="1:33" ht="15.75" customHeight="1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</row>
    <row r="1111" spans="1:33" ht="15.75" customHeight="1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</row>
    <row r="1112" spans="1:33" ht="15.75" customHeight="1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</row>
    <row r="1113" spans="1:33" ht="15.75" customHeight="1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</row>
    <row r="1114" spans="1:33" ht="15.75" customHeight="1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</row>
    <row r="1115" spans="1:33" ht="15.75" customHeight="1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</row>
    <row r="1116" spans="1:33" ht="15.75" customHeight="1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</row>
    <row r="1117" spans="1:33" ht="15.75" customHeight="1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</row>
    <row r="1118" spans="1:33" ht="15.75" customHeight="1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</row>
    <row r="1119" spans="1:33" ht="15.75" customHeight="1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</row>
    <row r="1120" spans="1:33" ht="15.75" customHeight="1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</row>
    <row r="1121" spans="1:33" ht="15.75" customHeight="1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</row>
    <row r="1122" spans="1:33" ht="15.75" customHeight="1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</row>
    <row r="1123" spans="1:33" ht="15.75" customHeight="1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</row>
    <row r="1124" spans="1:33" ht="15.75" customHeight="1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</row>
    <row r="1125" spans="1:33" ht="15.75" customHeight="1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</row>
    <row r="1126" spans="1:33" ht="15.75" customHeight="1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</row>
    <row r="1127" spans="1:33" ht="15.75" customHeight="1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</row>
    <row r="1128" spans="1:33" ht="15.75" customHeight="1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</row>
    <row r="1129" spans="1:33" ht="15.75" customHeight="1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</row>
    <row r="1130" spans="1:33" ht="15.75" customHeight="1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</row>
    <row r="1131" spans="1:33" ht="15.75" customHeight="1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</row>
    <row r="1132" spans="1:33" ht="15.75" customHeight="1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</row>
    <row r="1133" spans="1:33" ht="15.75" customHeight="1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</row>
    <row r="1134" spans="1:33" ht="15.75" customHeight="1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</row>
    <row r="1135" spans="1:33" ht="15.75" customHeight="1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</row>
    <row r="1136" spans="1:33" ht="15.75" customHeight="1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</row>
    <row r="1137" spans="1:33" ht="15.75" customHeight="1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</row>
    <row r="1138" spans="1:33" ht="15.75" customHeight="1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</row>
    <row r="1139" spans="1:33" ht="15.75" customHeight="1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</row>
    <row r="1140" spans="1:33" ht="15.75" customHeight="1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</row>
    <row r="1141" spans="1:33" ht="15.75" customHeight="1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</row>
    <row r="1142" spans="1:33" ht="15.75" customHeight="1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</row>
    <row r="1143" spans="1:33" ht="15.75" customHeight="1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</row>
    <row r="1144" spans="1:33" ht="15.75" customHeight="1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</row>
    <row r="1145" spans="1:33" ht="15.75" customHeight="1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</row>
    <row r="1146" spans="1:33" ht="15.75" customHeight="1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</row>
    <row r="1147" spans="1:33" ht="15.75" customHeight="1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</row>
    <row r="1148" spans="1:33" ht="15.75" customHeight="1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</row>
    <row r="1149" spans="1:33" ht="15.75" customHeight="1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</row>
    <row r="1150" spans="1:33" ht="15.75" customHeight="1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</row>
    <row r="1151" spans="1:33" ht="15.75" customHeight="1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</row>
    <row r="1152" spans="1:33" ht="15.75" customHeight="1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</row>
    <row r="1153" spans="1:33" ht="15.75" customHeight="1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</row>
    <row r="1154" spans="1:33" ht="15.75" customHeight="1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</row>
    <row r="1155" spans="1:33" ht="15.75" customHeight="1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</row>
    <row r="1156" spans="1:33" ht="15.75" customHeight="1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</row>
    <row r="1157" spans="1:33" ht="15.75" customHeight="1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</row>
    <row r="1158" spans="1:33" ht="15.75" customHeight="1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</row>
    <row r="1159" spans="1:33" ht="15.75" customHeight="1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</row>
    <row r="1160" spans="1:33" ht="15.75" customHeight="1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</row>
    <row r="1161" spans="1:33" ht="15.75" customHeight="1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</row>
    <row r="1162" spans="1:33" ht="15.75" customHeight="1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</row>
    <row r="1163" spans="1:33" ht="15.75" customHeight="1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</row>
    <row r="1164" spans="1:33" ht="15.75" customHeight="1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</row>
    <row r="1165" spans="1:33" ht="15.75" customHeight="1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</row>
    <row r="1166" spans="1:33" ht="15.75" customHeight="1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</row>
    <row r="1167" spans="1:33" ht="15.75" customHeight="1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</row>
    <row r="1168" spans="1:33" ht="15.75" customHeight="1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</row>
    <row r="1169" spans="1:33" ht="15.75" customHeight="1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</row>
    <row r="1170" spans="1:33" ht="15.75" customHeight="1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</row>
    <row r="1171" spans="1:33" ht="15.75" customHeight="1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</row>
    <row r="1172" spans="1:33" ht="15.75" customHeight="1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</row>
    <row r="1173" spans="1:33" ht="15.75" customHeight="1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</row>
    <row r="1174" spans="1:33" ht="15.75" customHeight="1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</row>
    <row r="1175" spans="1:33" ht="15.75" customHeight="1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</row>
    <row r="1176" spans="1:33" ht="15.75" customHeight="1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</row>
    <row r="1177" spans="1:33" ht="15.75" customHeight="1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</row>
    <row r="1178" spans="1:33" ht="15.75" customHeight="1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</row>
    <row r="1179" spans="1:33" ht="15.75" customHeight="1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</row>
    <row r="1180" spans="1:33" ht="15.75" customHeight="1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</row>
    <row r="1181" spans="1:33" ht="15.75" customHeight="1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</row>
    <row r="1182" spans="1:33" ht="15.75" customHeight="1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</row>
    <row r="1183" spans="1:33" ht="15.75" customHeight="1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</row>
    <row r="1184" spans="1:33" ht="15.75" customHeight="1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</row>
    <row r="1185" spans="1:33" ht="15.75" customHeight="1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</row>
    <row r="1186" spans="1:33" ht="15.75" customHeight="1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</row>
    <row r="1187" spans="1:33" ht="15.75" customHeight="1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</row>
    <row r="1188" spans="1:33" ht="15.75" customHeight="1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</row>
    <row r="1189" spans="1:33" ht="15.75" customHeight="1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</row>
    <row r="1190" spans="1:33" ht="15.75" customHeight="1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96"/>
  <sheetViews>
    <sheetView topLeftCell="A20" workbookViewId="0">
      <selection activeCell="F30" sqref="F30:K37"/>
    </sheetView>
  </sheetViews>
  <sheetFormatPr baseColWidth="10" defaultColWidth="14.5" defaultRowHeight="15" customHeight="1" x14ac:dyDescent="0.2"/>
  <cols>
    <col min="1" max="1" width="15.6640625" customWidth="1"/>
    <col min="2" max="2" width="8.6640625" customWidth="1"/>
    <col min="3" max="4" width="14.1640625" customWidth="1"/>
    <col min="5" max="5" width="4.5" customWidth="1"/>
    <col min="6" max="6" width="15.6640625" customWidth="1"/>
    <col min="7" max="7" width="11.1640625" bestFit="1" customWidth="1"/>
    <col min="8" max="8" width="8" customWidth="1"/>
    <col min="9" max="9" width="12.1640625" bestFit="1" customWidth="1"/>
    <col min="10" max="10" width="13.1640625" customWidth="1"/>
    <col min="11" max="11" width="12.83203125" customWidth="1"/>
    <col min="12" max="12" width="10.5" customWidth="1"/>
    <col min="13" max="13" width="35.1640625" customWidth="1"/>
    <col min="14" max="14" width="22.6640625" customWidth="1"/>
    <col min="15" max="15" width="19" customWidth="1"/>
    <col min="16" max="16" width="17.33203125" customWidth="1"/>
    <col min="17" max="17" width="15" customWidth="1"/>
    <col min="18" max="18" width="18" customWidth="1"/>
    <col min="19" max="19" width="14.5" customWidth="1"/>
    <col min="20" max="20" width="13.5" customWidth="1"/>
    <col min="21" max="31" width="8.6640625" customWidth="1"/>
  </cols>
  <sheetData>
    <row r="1" spans="1:31" x14ac:dyDescent="0.2">
      <c r="A1" s="24" t="s">
        <v>240</v>
      </c>
      <c r="B1" s="24"/>
      <c r="C1" s="24"/>
      <c r="D1" s="25"/>
      <c r="E1" s="25"/>
      <c r="F1" s="24" t="s">
        <v>241</v>
      </c>
      <c r="G1" s="24"/>
      <c r="H1" s="37"/>
      <c r="I1" s="25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">
      <c r="A2" s="26" t="s">
        <v>227</v>
      </c>
      <c r="B2" s="27"/>
      <c r="C2" s="27"/>
      <c r="D2" s="25"/>
      <c r="E2" s="28"/>
      <c r="F2" s="26" t="s">
        <v>242</v>
      </c>
      <c r="G2" s="26" t="s">
        <v>332</v>
      </c>
      <c r="H2" s="27" t="s">
        <v>333</v>
      </c>
      <c r="I2" s="3" t="s">
        <v>336</v>
      </c>
      <c r="L2" s="25"/>
      <c r="M2" s="25"/>
      <c r="N2" s="25"/>
      <c r="O2" s="25"/>
      <c r="P2" s="25"/>
      <c r="Q2" s="25"/>
      <c r="R2" s="25"/>
      <c r="S2" s="25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2">
      <c r="A3" s="25" t="s">
        <v>228</v>
      </c>
      <c r="B3" s="3">
        <v>-1.667</v>
      </c>
      <c r="C3" s="3"/>
      <c r="D3" s="3"/>
      <c r="E3" s="38"/>
      <c r="F3" s="25" t="s">
        <v>243</v>
      </c>
      <c r="G3" s="38">
        <v>0.32100000000000001</v>
      </c>
      <c r="H3" s="3">
        <v>7.0000000000000007E-2</v>
      </c>
      <c r="I3" s="3">
        <f>ROUND(H3*$G$7/G3*100,3)</f>
        <v>42.746000000000002</v>
      </c>
      <c r="N3" s="3"/>
      <c r="O3" s="3"/>
      <c r="P3" s="3"/>
      <c r="Q3" s="3"/>
      <c r="R3" s="3"/>
      <c r="S3" s="2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x14ac:dyDescent="0.2">
      <c r="A4" s="25" t="s">
        <v>229</v>
      </c>
      <c r="B4" s="3">
        <v>2.5099999999999998</v>
      </c>
      <c r="C4" s="3"/>
      <c r="D4" s="3"/>
      <c r="E4" s="38"/>
      <c r="F4" s="25" t="s">
        <v>244</v>
      </c>
      <c r="G4" s="38">
        <v>0.47</v>
      </c>
      <c r="H4" s="59">
        <v>1.2999999999999999E-2</v>
      </c>
      <c r="I4" s="3">
        <f>ROUND(H4*$G$7/G4*100,3)</f>
        <v>5.4219999999999997</v>
      </c>
      <c r="L4" s="3"/>
      <c r="M4" s="3"/>
      <c r="N4" s="3"/>
      <c r="O4" s="3"/>
      <c r="P4" s="3"/>
      <c r="Q4" s="3"/>
      <c r="R4" s="3"/>
      <c r="S4" s="25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2">
      <c r="A5" s="25"/>
      <c r="B5" s="3"/>
      <c r="C5" s="3"/>
      <c r="D5" s="3"/>
      <c r="E5" s="38"/>
      <c r="F5" s="30" t="s">
        <v>348</v>
      </c>
      <c r="G5" s="3">
        <f>(1+G3)</f>
        <v>1.321</v>
      </c>
      <c r="I5" s="3">
        <f>ROUND(I3*G3/G5,3)</f>
        <v>10.387</v>
      </c>
      <c r="L5" s="3"/>
      <c r="M5" s="3"/>
      <c r="N5" s="3"/>
      <c r="O5" s="3"/>
      <c r="P5" s="3"/>
      <c r="Q5" s="3"/>
      <c r="R5" s="3"/>
      <c r="S5" s="25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2">
      <c r="A6" s="25"/>
      <c r="B6" s="3"/>
      <c r="C6" s="3"/>
      <c r="D6" s="3"/>
      <c r="E6" s="38"/>
      <c r="F6" s="3" t="s">
        <v>335</v>
      </c>
      <c r="G6" s="3">
        <v>0.95</v>
      </c>
      <c r="H6" s="59"/>
      <c r="I6" s="3"/>
      <c r="L6" s="3"/>
      <c r="M6" s="3"/>
      <c r="N6" s="3"/>
      <c r="O6" s="3"/>
      <c r="P6" s="3"/>
      <c r="Q6" s="3"/>
      <c r="R6" s="3"/>
      <c r="S6" s="25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8"/>
      <c r="B7" s="29"/>
      <c r="C7" s="29"/>
      <c r="D7" s="29"/>
      <c r="E7" s="29"/>
      <c r="F7" s="3" t="s">
        <v>337</v>
      </c>
      <c r="G7" s="25">
        <f>_xlfn.T.INV.2T(1-G6, 10000)</f>
        <v>1.9602012398903417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25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6" t="s">
        <v>230</v>
      </c>
      <c r="B8" s="27"/>
      <c r="C8" s="27" t="s">
        <v>231</v>
      </c>
      <c r="D8" s="27" t="s">
        <v>232</v>
      </c>
      <c r="E8" s="2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5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32" x14ac:dyDescent="0.2">
      <c r="A9" s="55" t="s">
        <v>233</v>
      </c>
      <c r="B9" s="16">
        <v>0.46</v>
      </c>
      <c r="C9" s="53" t="s">
        <v>234</v>
      </c>
      <c r="D9" s="53" t="s">
        <v>235</v>
      </c>
      <c r="E9" s="25"/>
      <c r="F9" s="3"/>
      <c r="G9" s="3"/>
      <c r="H9" s="12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6" x14ac:dyDescent="0.2">
      <c r="A10" s="56" t="s">
        <v>19</v>
      </c>
      <c r="B10" s="30">
        <v>0.5</v>
      </c>
      <c r="C10" s="54" t="s">
        <v>234</v>
      </c>
      <c r="D10" s="54" t="s">
        <v>236</v>
      </c>
      <c r="F10" s="3"/>
      <c r="G10" s="3"/>
      <c r="H10" s="3"/>
      <c r="I10" s="25"/>
      <c r="J10" s="25"/>
      <c r="K10" s="25"/>
      <c r="L10" s="25"/>
      <c r="M10" s="25"/>
      <c r="N10" s="2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x14ac:dyDescent="0.2">
      <c r="A11" s="3"/>
      <c r="B11" s="3"/>
      <c r="C11" s="3"/>
      <c r="D11" s="3"/>
      <c r="E11" s="3"/>
      <c r="F11" s="25"/>
      <c r="G11" s="3"/>
      <c r="H11" s="12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A12" s="1" t="s">
        <v>245</v>
      </c>
      <c r="B12" s="2"/>
      <c r="C12" s="2"/>
      <c r="D12" s="2"/>
      <c r="E12" s="3"/>
      <c r="F12" s="1" t="s">
        <v>246</v>
      </c>
      <c r="G12" s="2"/>
      <c r="H12" s="39"/>
      <c r="I12" s="4"/>
      <c r="J12" s="4"/>
      <c r="K12" s="4"/>
      <c r="L12" s="25"/>
      <c r="M12" s="1" t="s">
        <v>247</v>
      </c>
      <c r="N12" s="4"/>
      <c r="O12" s="4"/>
      <c r="P12" s="4"/>
      <c r="Q12" s="4"/>
      <c r="R12" s="4"/>
      <c r="S12" s="4"/>
      <c r="T12" s="2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32" x14ac:dyDescent="0.2">
      <c r="A13" s="9" t="s">
        <v>1</v>
      </c>
      <c r="B13" s="8" t="s">
        <v>237</v>
      </c>
      <c r="C13" s="8" t="s">
        <v>238</v>
      </c>
      <c r="D13" s="8" t="s">
        <v>239</v>
      </c>
      <c r="E13" s="3"/>
      <c r="F13" s="9" t="s">
        <v>1</v>
      </c>
      <c r="G13" s="40" t="s">
        <v>248</v>
      </c>
      <c r="H13" s="41" t="s">
        <v>249</v>
      </c>
      <c r="I13" s="42" t="s">
        <v>250</v>
      </c>
      <c r="J13" s="42" t="s">
        <v>251</v>
      </c>
      <c r="K13" s="42" t="s">
        <v>252</v>
      </c>
      <c r="L13" s="3"/>
      <c r="M13" s="42" t="s">
        <v>253</v>
      </c>
      <c r="N13" s="42" t="s">
        <v>254</v>
      </c>
      <c r="O13" s="42" t="s">
        <v>263</v>
      </c>
      <c r="P13" s="105" t="s">
        <v>264</v>
      </c>
      <c r="Q13" s="42" t="s">
        <v>255</v>
      </c>
      <c r="R13" s="42" t="s">
        <v>256</v>
      </c>
      <c r="S13" s="42" t="s">
        <v>257</v>
      </c>
      <c r="T13" s="108" t="s">
        <v>258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x14ac:dyDescent="0.2">
      <c r="A14" s="31" t="s">
        <v>14</v>
      </c>
      <c r="B14" s="5">
        <v>1</v>
      </c>
      <c r="C14" s="32">
        <v>70</v>
      </c>
      <c r="D14" s="32">
        <f>EXP($B$3+$B$4*LN(C14)+LN($B$10))</f>
        <v>4038.2870236133017</v>
      </c>
      <c r="E14" s="3"/>
      <c r="F14" s="44" t="s">
        <v>14</v>
      </c>
      <c r="G14" s="133">
        <f>SUMIF($A$14:$A$150, F14, $D$14:$D$150)</f>
        <v>14172.009290141843</v>
      </c>
      <c r="H14" s="45">
        <f>G14/0.04/1000</f>
        <v>354.30023225354608</v>
      </c>
      <c r="I14" s="45">
        <f>H14*$G$3</f>
        <v>113.7303745533883</v>
      </c>
      <c r="J14" s="45">
        <f t="shared" ref="J14:J37" si="0">H14+I14</f>
        <v>468.03060680693437</v>
      </c>
      <c r="K14" s="45">
        <f t="shared" ref="K14:K37" si="1">J14*$G$4</f>
        <v>219.97438519925913</v>
      </c>
      <c r="L14" s="3"/>
      <c r="M14" s="46" t="s">
        <v>17</v>
      </c>
      <c r="N14" s="15">
        <v>8</v>
      </c>
      <c r="O14" s="43">
        <f>MEDIAN(K14:K21)</f>
        <v>140.07484505418807</v>
      </c>
      <c r="P14" s="106">
        <f>AVERAGE(K14:K21)</f>
        <v>167.01988250773186</v>
      </c>
      <c r="Q14" s="43">
        <f>_xlfn.VAR.S(K14:K21)</f>
        <v>10576.656027583318</v>
      </c>
      <c r="R14" s="43">
        <f>SQRT(Q14)</f>
        <v>102.84287057245785</v>
      </c>
      <c r="S14" s="43">
        <f>R14/SQRT((N14-1))</f>
        <v>38.870951378675194</v>
      </c>
      <c r="T14" s="108">
        <f>(1.96*S14/P14)*100</f>
        <v>45.615565978305874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x14ac:dyDescent="0.2">
      <c r="A15" s="31" t="s">
        <v>14</v>
      </c>
      <c r="B15" s="5">
        <v>2</v>
      </c>
      <c r="C15" s="32">
        <v>65</v>
      </c>
      <c r="D15" s="32">
        <f t="shared" ref="D15:D42" si="2">EXP($B$3+$B$4*LN(C15)+LN($B$10))</f>
        <v>3352.8461692698825</v>
      </c>
      <c r="E15" s="3"/>
      <c r="F15" s="44" t="s">
        <v>18</v>
      </c>
      <c r="G15" s="133">
        <f t="shared" ref="G15:G37" si="3">SUMIF($A$14:$A$150, F15, $D$14:$D$150)</f>
        <v>2204.5068550699884</v>
      </c>
      <c r="H15" s="45">
        <f t="shared" ref="H15:H37" si="4">G15/0.04/1000</f>
        <v>55.112671376749717</v>
      </c>
      <c r="I15" s="45">
        <f t="shared" ref="I15:I37" si="5">H15*$G$3</f>
        <v>17.691167511936658</v>
      </c>
      <c r="J15" s="45">
        <f t="shared" si="0"/>
        <v>72.803838888686371</v>
      </c>
      <c r="K15" s="45">
        <f t="shared" si="1"/>
        <v>34.217804277682596</v>
      </c>
      <c r="L15" s="3"/>
      <c r="M15" s="47" t="s">
        <v>19</v>
      </c>
      <c r="N15" s="15">
        <v>8</v>
      </c>
      <c r="O15" s="43">
        <f>MEDIAN(K22:K29)</f>
        <v>600.40678062656252</v>
      </c>
      <c r="P15" s="106">
        <f>AVERAGE(K22:K29)</f>
        <v>599.32837239246669</v>
      </c>
      <c r="Q15" s="43">
        <f>_xlfn.VAR.S(K22:K29)</f>
        <v>7089.1584811480052</v>
      </c>
      <c r="R15" s="43">
        <f>SQRT(Q15)</f>
        <v>84.197140575841445</v>
      </c>
      <c r="S15" s="43">
        <f>R15/SQRT((N15-1))</f>
        <v>31.823527866631732</v>
      </c>
      <c r="T15" s="108">
        <f t="shared" ref="T15" si="6">(1.96*S15/P15)*100</f>
        <v>10.407335526200129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x14ac:dyDescent="0.2">
      <c r="A16" s="31" t="s">
        <v>14</v>
      </c>
      <c r="B16" s="5">
        <v>3</v>
      </c>
      <c r="C16" s="32">
        <v>60</v>
      </c>
      <c r="D16" s="32">
        <f t="shared" si="2"/>
        <v>2742.5890736453575</v>
      </c>
      <c r="E16" s="3"/>
      <c r="F16" s="19" t="s">
        <v>20</v>
      </c>
      <c r="G16" s="133">
        <f t="shared" si="3"/>
        <v>7391.1331928831842</v>
      </c>
      <c r="H16" s="45">
        <f t="shared" si="4"/>
        <v>184.7783298220796</v>
      </c>
      <c r="I16" s="45">
        <f t="shared" si="5"/>
        <v>59.313843872887553</v>
      </c>
      <c r="J16" s="45">
        <f t="shared" si="0"/>
        <v>244.09217369496716</v>
      </c>
      <c r="K16" s="45">
        <f t="shared" si="1"/>
        <v>114.72332163663455</v>
      </c>
      <c r="L16" s="3"/>
      <c r="M16" s="14" t="s">
        <v>21</v>
      </c>
      <c r="N16" s="6"/>
      <c r="O16" s="43"/>
      <c r="P16" s="106">
        <v>5</v>
      </c>
      <c r="Q16" s="43"/>
      <c r="R16" s="43"/>
      <c r="S16" s="43"/>
      <c r="T16" s="108">
        <v>75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2">
      <c r="A17" s="31" t="s">
        <v>14</v>
      </c>
      <c r="B17" s="5">
        <v>4</v>
      </c>
      <c r="C17" s="32">
        <v>70</v>
      </c>
      <c r="D17" s="32">
        <f t="shared" si="2"/>
        <v>4038.2870236133017</v>
      </c>
      <c r="E17" s="3"/>
      <c r="F17" s="19" t="s">
        <v>22</v>
      </c>
      <c r="G17" s="133">
        <f t="shared" si="3"/>
        <v>7427.6201608772953</v>
      </c>
      <c r="H17" s="45">
        <f t="shared" si="4"/>
        <v>185.69050402193238</v>
      </c>
      <c r="I17" s="45">
        <f t="shared" si="5"/>
        <v>59.606651791040299</v>
      </c>
      <c r="J17" s="45">
        <f t="shared" si="0"/>
        <v>245.29715581297268</v>
      </c>
      <c r="K17" s="45">
        <f t="shared" si="1"/>
        <v>115.28966323209715</v>
      </c>
      <c r="L17" s="3"/>
      <c r="M17" s="3"/>
      <c r="N17" s="3"/>
      <c r="O17" s="12"/>
      <c r="P17" s="12"/>
      <c r="Q17" s="12"/>
      <c r="R17" s="12"/>
      <c r="S17" s="1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x14ac:dyDescent="0.2">
      <c r="A18" s="31" t="s">
        <v>18</v>
      </c>
      <c r="B18" s="5">
        <v>5</v>
      </c>
      <c r="C18" s="32">
        <v>55</v>
      </c>
      <c r="D18" s="32">
        <f>EXP($B$3+$B$4*LN(C18)+LN($B$10))</f>
        <v>2204.5068550699884</v>
      </c>
      <c r="E18" s="3"/>
      <c r="F18" s="19" t="s">
        <v>23</v>
      </c>
      <c r="G18" s="133">
        <f t="shared" si="3"/>
        <v>9748.9048495803581</v>
      </c>
      <c r="H18" s="45">
        <f t="shared" si="4"/>
        <v>243.72262123950892</v>
      </c>
      <c r="I18" s="45">
        <f t="shared" si="5"/>
        <v>78.23496141788236</v>
      </c>
      <c r="J18" s="45">
        <f t="shared" si="0"/>
        <v>321.9575826573913</v>
      </c>
      <c r="K18" s="45">
        <f t="shared" si="1"/>
        <v>151.32006384897389</v>
      </c>
      <c r="L18" s="3"/>
      <c r="M18" s="3"/>
      <c r="N18" s="3"/>
      <c r="O18" s="12"/>
      <c r="P18" s="12"/>
      <c r="Q18" s="12"/>
      <c r="R18" s="12"/>
      <c r="S18" s="12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2">
      <c r="A19" s="31" t="s">
        <v>20</v>
      </c>
      <c r="B19" s="5">
        <v>6</v>
      </c>
      <c r="C19" s="32">
        <v>65</v>
      </c>
      <c r="D19" s="32">
        <f t="shared" si="2"/>
        <v>3352.8461692698825</v>
      </c>
      <c r="E19" s="3"/>
      <c r="F19" s="19" t="s">
        <v>26</v>
      </c>
      <c r="G19" s="133">
        <f t="shared" si="3"/>
        <v>8299.9420979852293</v>
      </c>
      <c r="H19" s="45">
        <f t="shared" si="4"/>
        <v>207.49855244963072</v>
      </c>
      <c r="I19" s="45">
        <f t="shared" si="5"/>
        <v>66.607035336331464</v>
      </c>
      <c r="J19" s="45">
        <f t="shared" si="0"/>
        <v>274.1055877859622</v>
      </c>
      <c r="K19" s="45">
        <f t="shared" si="1"/>
        <v>128.82962625940223</v>
      </c>
      <c r="L19" s="3"/>
      <c r="M19" s="4" t="s">
        <v>259</v>
      </c>
      <c r="N19" s="39"/>
      <c r="O19" s="39"/>
      <c r="P19" s="4"/>
      <c r="Q19" s="39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32" x14ac:dyDescent="0.2">
      <c r="A20" s="31" t="s">
        <v>22</v>
      </c>
      <c r="B20" s="5">
        <v>7</v>
      </c>
      <c r="C20" s="32">
        <v>60</v>
      </c>
      <c r="D20" s="32">
        <f t="shared" si="2"/>
        <v>2742.5890736453575</v>
      </c>
      <c r="E20" s="3"/>
      <c r="F20" s="19" t="s">
        <v>29</v>
      </c>
      <c r="G20" s="133">
        <f t="shared" si="3"/>
        <v>12271.241766559811</v>
      </c>
      <c r="H20" s="45">
        <f t="shared" si="4"/>
        <v>306.78104416399532</v>
      </c>
      <c r="I20" s="45">
        <f t="shared" si="5"/>
        <v>98.4767151766425</v>
      </c>
      <c r="J20" s="45">
        <f t="shared" si="0"/>
        <v>405.25775934063779</v>
      </c>
      <c r="K20" s="45">
        <f t="shared" si="1"/>
        <v>190.47114689009976</v>
      </c>
      <c r="L20" s="3"/>
      <c r="M20" s="41" t="s">
        <v>260</v>
      </c>
      <c r="N20" s="50" t="s">
        <v>310</v>
      </c>
      <c r="O20" s="50" t="s">
        <v>311</v>
      </c>
      <c r="P20" s="115" t="s">
        <v>365</v>
      </c>
      <c r="Q20" s="108" t="s">
        <v>258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2">
      <c r="A21" s="31" t="s">
        <v>20</v>
      </c>
      <c r="B21" s="5">
        <v>8</v>
      </c>
      <c r="C21" s="32">
        <v>70</v>
      </c>
      <c r="D21" s="32">
        <f t="shared" si="2"/>
        <v>4038.2870236133017</v>
      </c>
      <c r="E21" s="3"/>
      <c r="F21" s="19" t="s">
        <v>32</v>
      </c>
      <c r="G21" s="133">
        <f t="shared" si="3"/>
        <v>24567.658203340838</v>
      </c>
      <c r="H21" s="45">
        <f t="shared" si="4"/>
        <v>614.19145508352096</v>
      </c>
      <c r="I21" s="45">
        <f t="shared" si="5"/>
        <v>197.15545708181023</v>
      </c>
      <c r="J21" s="45">
        <f t="shared" si="0"/>
        <v>811.34691216533122</v>
      </c>
      <c r="K21" s="45">
        <f t="shared" si="1"/>
        <v>381.33304871770565</v>
      </c>
      <c r="L21" s="3"/>
      <c r="M21" s="51" t="s">
        <v>261</v>
      </c>
      <c r="N21" s="7">
        <f>P14</f>
        <v>167.01988250773186</v>
      </c>
      <c r="O21" s="7">
        <f>$P$16</f>
        <v>5</v>
      </c>
      <c r="P21" s="139">
        <f>(N21-O21)</f>
        <v>162.01988250773186</v>
      </c>
      <c r="Q21" s="140">
        <f>SQRT((T14*P14)^2+(T$16*P$16)^2)/(P14-P$16)</f>
        <v>47.080208293188576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x14ac:dyDescent="0.2">
      <c r="A22" s="31" t="s">
        <v>22</v>
      </c>
      <c r="B22" s="5">
        <v>9</v>
      </c>
      <c r="C22" s="32">
        <v>65</v>
      </c>
      <c r="D22" s="32">
        <f t="shared" si="2"/>
        <v>3352.8461692698825</v>
      </c>
      <c r="E22" s="3"/>
      <c r="F22" s="20" t="s">
        <v>146</v>
      </c>
      <c r="G22" s="134">
        <f t="shared" si="3"/>
        <v>42975.544719151265</v>
      </c>
      <c r="H22" s="48">
        <f t="shared" si="4"/>
        <v>1074.3886179787817</v>
      </c>
      <c r="I22" s="48">
        <f t="shared" si="5"/>
        <v>344.87874637118892</v>
      </c>
      <c r="J22" s="48">
        <f t="shared" si="0"/>
        <v>1419.2673643499706</v>
      </c>
      <c r="K22" s="48">
        <f t="shared" si="1"/>
        <v>667.05566124448615</v>
      </c>
      <c r="L22" s="3"/>
      <c r="M22" s="33" t="s">
        <v>262</v>
      </c>
      <c r="N22" s="7">
        <f>P15</f>
        <v>599.32837239246669</v>
      </c>
      <c r="O22" s="7">
        <f>$P$16</f>
        <v>5</v>
      </c>
      <c r="P22" s="139">
        <f t="shared" ref="P22" si="7">(N22-O22)</f>
        <v>594.32837239246669</v>
      </c>
      <c r="Q22" s="140">
        <f>SQRT((T15*P15)^2+(T$16*P$16)^2)/(P15-P$16)</f>
        <v>10.513840982800286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2">
      <c r="A23" s="31" t="s">
        <v>23</v>
      </c>
      <c r="B23" s="5">
        <v>10</v>
      </c>
      <c r="C23" s="32">
        <v>60</v>
      </c>
      <c r="D23" s="32">
        <f t="shared" si="2"/>
        <v>2742.5890736453575</v>
      </c>
      <c r="E23" s="3"/>
      <c r="F23" s="20" t="s">
        <v>148</v>
      </c>
      <c r="G23" s="134">
        <f t="shared" si="3"/>
        <v>45103.659923255458</v>
      </c>
      <c r="H23" s="48">
        <f t="shared" si="4"/>
        <v>1127.5914980813864</v>
      </c>
      <c r="I23" s="48">
        <f t="shared" si="5"/>
        <v>361.95687088412501</v>
      </c>
      <c r="J23" s="48">
        <f t="shared" si="0"/>
        <v>1489.5483689655114</v>
      </c>
      <c r="K23" s="48">
        <f t="shared" si="1"/>
        <v>700.08773341379026</v>
      </c>
      <c r="L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2">
      <c r="A24" s="5" t="s">
        <v>22</v>
      </c>
      <c r="B24" s="5">
        <v>11</v>
      </c>
      <c r="C24" s="32">
        <v>45</v>
      </c>
      <c r="D24" s="32">
        <f t="shared" si="2"/>
        <v>1332.1849179620551</v>
      </c>
      <c r="E24" s="3"/>
      <c r="F24" s="20" t="s">
        <v>149</v>
      </c>
      <c r="G24" s="134">
        <f t="shared" si="3"/>
        <v>42219.287858478536</v>
      </c>
      <c r="H24" s="48">
        <f t="shared" si="4"/>
        <v>1055.4821964619634</v>
      </c>
      <c r="I24" s="48">
        <f t="shared" si="5"/>
        <v>338.80978506429028</v>
      </c>
      <c r="J24" s="48">
        <f t="shared" si="0"/>
        <v>1394.2919815262537</v>
      </c>
      <c r="K24" s="48">
        <f t="shared" si="1"/>
        <v>655.31723131733918</v>
      </c>
      <c r="L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2">
      <c r="A25" s="5" t="s">
        <v>23</v>
      </c>
      <c r="B25" s="5">
        <v>12</v>
      </c>
      <c r="C25" s="32">
        <v>55</v>
      </c>
      <c r="D25" s="32">
        <f>EXP($B$3+$B$4*LN(C25)+LN($B$10))</f>
        <v>2204.5068550699884</v>
      </c>
      <c r="E25" s="3"/>
      <c r="F25" s="20" t="s">
        <v>150</v>
      </c>
      <c r="G25" s="134">
        <f t="shared" si="3"/>
        <v>39995.540208534541</v>
      </c>
      <c r="H25" s="48">
        <f t="shared" si="4"/>
        <v>999.8885052133636</v>
      </c>
      <c r="I25" s="48">
        <f t="shared" si="5"/>
        <v>320.96421017348973</v>
      </c>
      <c r="J25" s="48">
        <f t="shared" si="0"/>
        <v>1320.8527153868533</v>
      </c>
      <c r="K25" s="48">
        <f t="shared" si="1"/>
        <v>620.80077623182103</v>
      </c>
      <c r="L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.75" customHeight="1" x14ac:dyDescent="0.2">
      <c r="A26" s="5" t="s">
        <v>26</v>
      </c>
      <c r="B26" s="5">
        <v>13</v>
      </c>
      <c r="C26" s="32">
        <v>60</v>
      </c>
      <c r="D26" s="32">
        <f t="shared" si="2"/>
        <v>2742.5890736453575</v>
      </c>
      <c r="E26" s="3"/>
      <c r="F26" s="20" t="s">
        <v>151</v>
      </c>
      <c r="G26" s="134">
        <f t="shared" si="3"/>
        <v>36737.138709673301</v>
      </c>
      <c r="H26" s="48">
        <f t="shared" si="4"/>
        <v>918.42846774183249</v>
      </c>
      <c r="I26" s="48">
        <f t="shared" si="5"/>
        <v>294.81553814512824</v>
      </c>
      <c r="J26" s="48">
        <f t="shared" si="0"/>
        <v>1213.2440058869606</v>
      </c>
      <c r="K26" s="48">
        <f t="shared" si="1"/>
        <v>570.22468276687141</v>
      </c>
      <c r="L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.75" customHeight="1" x14ac:dyDescent="0.2">
      <c r="A27" s="5" t="s">
        <v>29</v>
      </c>
      <c r="B27" s="5">
        <v>14</v>
      </c>
      <c r="C27" s="32">
        <v>50</v>
      </c>
      <c r="D27" s="32">
        <f t="shared" si="2"/>
        <v>1735.4648178890548</v>
      </c>
      <c r="E27" s="3"/>
      <c r="F27" s="20" t="s">
        <v>152</v>
      </c>
      <c r="G27" s="134">
        <f t="shared" si="3"/>
        <v>27567.80523404491</v>
      </c>
      <c r="H27" s="48">
        <f t="shared" si="4"/>
        <v>689.19513085112283</v>
      </c>
      <c r="I27" s="48">
        <f t="shared" si="5"/>
        <v>221.23163700321044</v>
      </c>
      <c r="J27" s="48">
        <f t="shared" si="0"/>
        <v>910.42676785433332</v>
      </c>
      <c r="K27" s="48">
        <f t="shared" si="1"/>
        <v>427.90058089153666</v>
      </c>
      <c r="L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.75" customHeight="1" x14ac:dyDescent="0.2">
      <c r="A28" s="5" t="s">
        <v>32</v>
      </c>
      <c r="B28" s="5">
        <v>15</v>
      </c>
      <c r="C28" s="32">
        <v>65</v>
      </c>
      <c r="D28" s="32">
        <f t="shared" si="2"/>
        <v>3352.8461692698825</v>
      </c>
      <c r="E28" s="3"/>
      <c r="F28" s="20" t="s">
        <v>153</v>
      </c>
      <c r="G28" s="134">
        <f t="shared" si="3"/>
        <v>37367.744295669247</v>
      </c>
      <c r="H28" s="48">
        <f t="shared" si="4"/>
        <v>934.19360739173112</v>
      </c>
      <c r="I28" s="48">
        <f t="shared" si="5"/>
        <v>299.87614797274568</v>
      </c>
      <c r="J28" s="48">
        <f t="shared" si="0"/>
        <v>1234.0697553644768</v>
      </c>
      <c r="K28" s="48">
        <f t="shared" si="1"/>
        <v>580.01278502130401</v>
      </c>
      <c r="L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.75" customHeight="1" x14ac:dyDescent="0.2">
      <c r="A29" s="5" t="s">
        <v>23</v>
      </c>
      <c r="B29" s="5">
        <v>16</v>
      </c>
      <c r="C29" s="32">
        <v>75</v>
      </c>
      <c r="D29" s="32">
        <f t="shared" si="2"/>
        <v>4801.8089208650117</v>
      </c>
      <c r="E29" s="3"/>
      <c r="F29" s="20" t="s">
        <v>154</v>
      </c>
      <c r="G29" s="134">
        <f t="shared" si="3"/>
        <v>36930.599207730069</v>
      </c>
      <c r="H29" s="48">
        <f t="shared" si="4"/>
        <v>923.26498019325174</v>
      </c>
      <c r="I29" s="48">
        <f t="shared" si="5"/>
        <v>296.36805864203382</v>
      </c>
      <c r="J29" s="48">
        <f t="shared" si="0"/>
        <v>1219.6330388352856</v>
      </c>
      <c r="K29" s="48">
        <f t="shared" si="1"/>
        <v>573.22752825258419</v>
      </c>
      <c r="L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.75" customHeight="1" x14ac:dyDescent="0.2">
      <c r="A30" s="5" t="s">
        <v>26</v>
      </c>
      <c r="B30" s="5">
        <v>17</v>
      </c>
      <c r="C30" s="32">
        <v>65</v>
      </c>
      <c r="D30" s="32">
        <f t="shared" si="2"/>
        <v>3352.8461692698825</v>
      </c>
      <c r="E30" s="3"/>
      <c r="F30" s="21"/>
      <c r="G30" s="135"/>
      <c r="H30" s="49"/>
      <c r="I30" s="49"/>
      <c r="J30" s="49"/>
      <c r="K30" s="49"/>
      <c r="L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.75" customHeight="1" x14ac:dyDescent="0.2">
      <c r="A31" s="5" t="s">
        <v>29</v>
      </c>
      <c r="B31" s="5">
        <v>18</v>
      </c>
      <c r="C31" s="32">
        <v>68</v>
      </c>
      <c r="D31" s="32">
        <f t="shared" si="2"/>
        <v>3754.9008514120978</v>
      </c>
      <c r="E31" s="3"/>
      <c r="F31" s="21"/>
      <c r="G31" s="135"/>
      <c r="H31" s="49"/>
      <c r="I31" s="49"/>
      <c r="J31" s="49"/>
      <c r="K31" s="49"/>
      <c r="L31" s="3"/>
      <c r="M31" s="3"/>
      <c r="N31" s="57"/>
      <c r="O31" s="57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.75" customHeight="1" x14ac:dyDescent="0.2">
      <c r="A32" s="5" t="s">
        <v>26</v>
      </c>
      <c r="B32" s="5">
        <v>19</v>
      </c>
      <c r="C32" s="32">
        <v>55</v>
      </c>
      <c r="D32" s="32">
        <f t="shared" si="2"/>
        <v>2204.5068550699884</v>
      </c>
      <c r="E32" s="3"/>
      <c r="F32" s="21"/>
      <c r="G32" s="135"/>
      <c r="H32" s="49"/>
      <c r="I32" s="49"/>
      <c r="J32" s="49"/>
      <c r="K32" s="49"/>
      <c r="L32" s="3"/>
      <c r="M32" s="1" t="s">
        <v>331</v>
      </c>
      <c r="N32" s="4"/>
      <c r="O32" s="4"/>
      <c r="P32" s="4"/>
      <c r="Q32" s="4"/>
      <c r="R32" s="4"/>
      <c r="S32" s="4"/>
      <c r="T32" s="2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.75" customHeight="1" x14ac:dyDescent="0.2">
      <c r="A33" s="5" t="s">
        <v>29</v>
      </c>
      <c r="B33" s="5">
        <v>20</v>
      </c>
      <c r="C33" s="32">
        <v>60</v>
      </c>
      <c r="D33" s="32">
        <f t="shared" si="2"/>
        <v>2742.5890736453575</v>
      </c>
      <c r="E33" s="3"/>
      <c r="F33" s="21"/>
      <c r="G33" s="135"/>
      <c r="H33" s="49"/>
      <c r="I33" s="49"/>
      <c r="J33" s="49"/>
      <c r="K33" s="49"/>
      <c r="L33" s="3"/>
      <c r="M33" s="42" t="s">
        <v>253</v>
      </c>
      <c r="N33" s="42" t="s">
        <v>254</v>
      </c>
      <c r="O33" s="42" t="s">
        <v>329</v>
      </c>
      <c r="P33" s="42" t="s">
        <v>328</v>
      </c>
      <c r="Q33" s="42" t="s">
        <v>255</v>
      </c>
      <c r="R33" s="42" t="s">
        <v>330</v>
      </c>
      <c r="S33" s="42" t="s">
        <v>257</v>
      </c>
      <c r="T33" s="43" t="s">
        <v>258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.75" customHeight="1" x14ac:dyDescent="0.2">
      <c r="A34" s="5" t="s">
        <v>32</v>
      </c>
      <c r="B34" s="5">
        <v>21</v>
      </c>
      <c r="C34" s="32">
        <v>60</v>
      </c>
      <c r="D34" s="32">
        <f t="shared" si="2"/>
        <v>2742.5890736453575</v>
      </c>
      <c r="E34" s="3"/>
      <c r="F34" s="21"/>
      <c r="G34" s="135"/>
      <c r="H34" s="49"/>
      <c r="I34" s="49"/>
      <c r="J34" s="49"/>
      <c r="K34" s="49"/>
      <c r="L34" s="3"/>
      <c r="M34" s="46" t="s">
        <v>17</v>
      </c>
      <c r="N34" s="15">
        <v>8</v>
      </c>
      <c r="O34" s="43">
        <f>MEDIAN(H14:H21)</f>
        <v>225.61058684456981</v>
      </c>
      <c r="P34" s="43">
        <f>AVERAGE(H14:H21)</f>
        <v>269.00942630137047</v>
      </c>
      <c r="Q34" s="43">
        <f>_xlfn.VAR.S(H14:H21)</f>
        <v>27437.6574276469</v>
      </c>
      <c r="R34" s="43">
        <f>SQRT(Q34)</f>
        <v>165.64316293661776</v>
      </c>
      <c r="S34" s="43">
        <f>R34/SQRT((N34-1))</f>
        <v>62.60723078692029</v>
      </c>
      <c r="T34" s="43">
        <f>($G$7*S34/P34)*100</f>
        <v>45.620249484170856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.75" customHeight="1" x14ac:dyDescent="0.2">
      <c r="A35" s="5" t="s">
        <v>34</v>
      </c>
      <c r="B35" s="5">
        <v>22</v>
      </c>
      <c r="C35" s="32">
        <v>45</v>
      </c>
      <c r="D35" s="32">
        <f t="shared" si="2"/>
        <v>1332.1849179620551</v>
      </c>
      <c r="E35" s="3"/>
      <c r="F35" s="21"/>
      <c r="G35" s="135"/>
      <c r="H35" s="49"/>
      <c r="I35" s="49"/>
      <c r="J35" s="49"/>
      <c r="K35" s="49"/>
      <c r="L35" s="3"/>
      <c r="M35" s="47" t="s">
        <v>19</v>
      </c>
      <c r="N35" s="15">
        <v>8</v>
      </c>
      <c r="O35" s="43">
        <f>MEDIAN(H22:H29)</f>
        <v>967.0410563025473</v>
      </c>
      <c r="P35" s="43">
        <f>AVERAGE(H22:H29)</f>
        <v>965.30412548917923</v>
      </c>
      <c r="Q35" s="43">
        <f>_xlfn.VAR.S(H22:H29)</f>
        <v>18390.491413237392</v>
      </c>
      <c r="R35" s="43">
        <f>SQRT(Q35)</f>
        <v>135.61154601742948</v>
      </c>
      <c r="S35" s="43">
        <f>R35/SQRT((N35-1))</f>
        <v>51.256346524444297</v>
      </c>
      <c r="T35" s="43">
        <f>($G$7*S35/P35)*100</f>
        <v>10.408404082863417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.75" customHeight="1" x14ac:dyDescent="0.2">
      <c r="A36" s="5" t="s">
        <v>29</v>
      </c>
      <c r="B36" s="5">
        <v>23</v>
      </c>
      <c r="C36" s="32">
        <v>70</v>
      </c>
      <c r="D36" s="32">
        <f t="shared" si="2"/>
        <v>4038.2870236133017</v>
      </c>
      <c r="E36" s="3"/>
      <c r="F36" s="21"/>
      <c r="G36" s="135"/>
      <c r="H36" s="49"/>
      <c r="I36" s="49"/>
      <c r="J36" s="49"/>
      <c r="K36" s="49"/>
      <c r="L36" s="3"/>
      <c r="M36" s="14" t="s">
        <v>21</v>
      </c>
      <c r="N36" s="6"/>
      <c r="O36" s="43"/>
      <c r="P36" s="43"/>
      <c r="Q36" s="43"/>
      <c r="R36" s="43"/>
      <c r="S36" s="43"/>
      <c r="T36" s="4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.75" customHeight="1" x14ac:dyDescent="0.2">
      <c r="A37" s="5" t="s">
        <v>32</v>
      </c>
      <c r="B37" s="5">
        <v>24</v>
      </c>
      <c r="C37" s="32">
        <v>75</v>
      </c>
      <c r="D37" s="32">
        <f t="shared" si="2"/>
        <v>4801.8089208650117</v>
      </c>
      <c r="E37" s="3"/>
      <c r="F37" s="21"/>
      <c r="G37" s="135"/>
      <c r="H37" s="49"/>
      <c r="I37" s="49"/>
      <c r="J37" s="49"/>
      <c r="K37" s="49"/>
      <c r="L37" s="3"/>
      <c r="M37" s="3"/>
      <c r="N37" s="57"/>
      <c r="O37" s="5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.75" customHeight="1" x14ac:dyDescent="0.2">
      <c r="A38" s="5" t="s">
        <v>34</v>
      </c>
      <c r="B38" s="5">
        <v>25</v>
      </c>
      <c r="C38" s="32">
        <v>65</v>
      </c>
      <c r="D38" s="32">
        <f t="shared" si="2"/>
        <v>3352.8461692698825</v>
      </c>
      <c r="E38" s="3"/>
      <c r="F38" s="3"/>
      <c r="G38" s="36"/>
      <c r="H38" s="16"/>
      <c r="I38" s="16"/>
      <c r="J38" s="3"/>
      <c r="K38" s="3"/>
      <c r="L38" s="3"/>
      <c r="M38" s="3"/>
      <c r="N38" s="57"/>
      <c r="O38" s="57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 x14ac:dyDescent="0.2">
      <c r="A39" s="5" t="s">
        <v>32</v>
      </c>
      <c r="B39" s="5">
        <v>26</v>
      </c>
      <c r="C39" s="32">
        <v>55</v>
      </c>
      <c r="D39" s="32">
        <f t="shared" si="2"/>
        <v>2204.5068550699884</v>
      </c>
      <c r="E39" s="3"/>
      <c r="F39" s="3"/>
      <c r="G39" s="36"/>
      <c r="H39" s="16"/>
      <c r="I39" s="16"/>
      <c r="J39" s="3"/>
      <c r="K39" s="3"/>
      <c r="L39" s="3"/>
      <c r="M39" s="141" t="s">
        <v>366</v>
      </c>
      <c r="N39" s="142"/>
      <c r="O39" s="142"/>
      <c r="P39" s="142"/>
      <c r="Q39" s="142"/>
      <c r="R39" s="142"/>
      <c r="S39" s="142"/>
      <c r="T39" s="14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 x14ac:dyDescent="0.2">
      <c r="A40" s="5" t="s">
        <v>32</v>
      </c>
      <c r="B40" s="5">
        <v>27</v>
      </c>
      <c r="C40" s="32">
        <v>45</v>
      </c>
      <c r="D40" s="32">
        <f t="shared" si="2"/>
        <v>1332.1849179620551</v>
      </c>
      <c r="E40" s="3"/>
      <c r="F40" s="3"/>
      <c r="G40" s="36"/>
      <c r="H40" s="16"/>
      <c r="I40" s="16"/>
      <c r="J40" s="3"/>
      <c r="K40" s="16"/>
      <c r="L40" s="3"/>
      <c r="M40" s="144" t="s">
        <v>253</v>
      </c>
      <c r="N40" s="144" t="s">
        <v>343</v>
      </c>
      <c r="O40" s="144" t="s">
        <v>334</v>
      </c>
      <c r="P40" s="144" t="s">
        <v>338</v>
      </c>
      <c r="Q40" s="144" t="s">
        <v>339</v>
      </c>
      <c r="R40" s="144" t="s">
        <v>340</v>
      </c>
      <c r="S40" s="144" t="s">
        <v>341</v>
      </c>
      <c r="T40" s="145" t="s">
        <v>342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 x14ac:dyDescent="0.2">
      <c r="A41" s="5" t="s">
        <v>32</v>
      </c>
      <c r="B41" s="5">
        <v>28</v>
      </c>
      <c r="C41" s="32">
        <v>65</v>
      </c>
      <c r="D41" s="32">
        <f t="shared" si="2"/>
        <v>3352.8461692698825</v>
      </c>
      <c r="E41" s="3"/>
      <c r="F41" s="3"/>
      <c r="G41" s="36"/>
      <c r="H41" s="16"/>
      <c r="I41" s="16"/>
      <c r="J41" s="3"/>
      <c r="K41" s="16"/>
      <c r="L41" s="3"/>
      <c r="M41" s="146" t="s">
        <v>17</v>
      </c>
      <c r="N41" s="147">
        <f>P34*$G$3</f>
        <v>86.35202584273992</v>
      </c>
      <c r="O41" s="145">
        <f>SQRT(T34^2+$I$3^2)</f>
        <v>62.517419004610154</v>
      </c>
      <c r="P41" s="145">
        <f>N41+P34</f>
        <v>355.36145214411039</v>
      </c>
      <c r="Q41" s="145">
        <f>SQRT((N41*O41)^2+(P34*T34)^2)/P41</f>
        <v>37.728308624326473</v>
      </c>
      <c r="R41" s="145">
        <f>P41*$G$4</f>
        <v>167.01988250773186</v>
      </c>
      <c r="S41" s="145">
        <f>SQRT(Q41^2+$I$4^2)</f>
        <v>38.115919976466884</v>
      </c>
      <c r="T41" s="145">
        <f>S41*R41/$G$7/100</f>
        <v>32.476851593562628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 x14ac:dyDescent="0.2">
      <c r="A42" s="5" t="s">
        <v>32</v>
      </c>
      <c r="B42" s="5">
        <v>29</v>
      </c>
      <c r="C42" s="32">
        <v>70</v>
      </c>
      <c r="D42" s="32">
        <f t="shared" si="2"/>
        <v>4038.2870236133017</v>
      </c>
      <c r="E42" s="3"/>
      <c r="F42" s="3"/>
      <c r="G42" s="36"/>
      <c r="H42" s="16"/>
      <c r="I42" s="16"/>
      <c r="J42" s="3"/>
      <c r="K42" s="16"/>
      <c r="L42" s="3"/>
      <c r="M42" s="148" t="s">
        <v>19</v>
      </c>
      <c r="N42" s="147">
        <f>P35*$G$3</f>
        <v>309.86262428202656</v>
      </c>
      <c r="O42" s="145">
        <f t="shared" ref="O42:O43" si="8">SQRT(T35^2+$I$3^2)</f>
        <v>43.994947341168256</v>
      </c>
      <c r="P42" s="145">
        <f>N42+P35</f>
        <v>1275.1667497712058</v>
      </c>
      <c r="Q42" s="145">
        <f t="shared" ref="Q42:Q43" si="9">SQRT((N42*O42)^2+(P35*T35)^2)/P42</f>
        <v>13.280513492495754</v>
      </c>
      <c r="R42" s="145">
        <f t="shared" ref="R42:R43" si="10">P42*$G$4</f>
        <v>599.32837239246669</v>
      </c>
      <c r="S42" s="145">
        <f t="shared" ref="S42:S43" si="11">SQRT(Q42^2+$I$4^2)</f>
        <v>14.344689701222601</v>
      </c>
      <c r="T42" s="145">
        <f>S42*R42/$G$7/100</f>
        <v>43.858657754903099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 x14ac:dyDescent="0.2">
      <c r="A43" s="5" t="s">
        <v>32</v>
      </c>
      <c r="B43" s="5">
        <v>30</v>
      </c>
      <c r="C43" s="32">
        <v>60</v>
      </c>
      <c r="D43" s="32">
        <f>EXP($B$3+$B$4*LN(C43)+LN($B$10))</f>
        <v>2742.5890736453575</v>
      </c>
      <c r="E43" s="3"/>
      <c r="F43" s="36"/>
      <c r="G43" s="16"/>
      <c r="H43" s="16"/>
      <c r="I43" s="3"/>
      <c r="J43" s="16"/>
      <c r="K43" s="3"/>
      <c r="L43" s="3"/>
      <c r="M43" s="149" t="s">
        <v>21</v>
      </c>
      <c r="N43" s="147">
        <f>P36*$G$3</f>
        <v>0</v>
      </c>
      <c r="O43" s="145">
        <f t="shared" si="8"/>
        <v>42.746000000000002</v>
      </c>
      <c r="P43" s="145">
        <f t="shared" ref="P43" si="12">N43+P36</f>
        <v>0</v>
      </c>
      <c r="Q43" s="145" t="e">
        <f t="shared" si="9"/>
        <v>#DIV/0!</v>
      </c>
      <c r="R43" s="145">
        <f t="shared" si="10"/>
        <v>0</v>
      </c>
      <c r="S43" s="145" t="e">
        <f t="shared" si="11"/>
        <v>#DIV/0!</v>
      </c>
      <c r="T43" s="145" t="e">
        <f>S43*R43/$G$7/100</f>
        <v>#DIV/0!</v>
      </c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1" ht="15.75" customHeight="1" x14ac:dyDescent="0.2">
      <c r="A44" s="33" t="s">
        <v>146</v>
      </c>
      <c r="B44" s="33">
        <v>1</v>
      </c>
      <c r="C44" s="34">
        <v>70</v>
      </c>
      <c r="D44" s="34">
        <f>EXP($B$3+$B$4*LN(C44)+LN($B$9))</f>
        <v>3715.2240617242369</v>
      </c>
      <c r="E44" s="3"/>
      <c r="F44" s="36"/>
      <c r="G44" s="16"/>
      <c r="H44" s="16"/>
      <c r="I44" s="3"/>
      <c r="J44" s="16"/>
      <c r="K44" s="3"/>
      <c r="L44" s="3"/>
      <c r="M44" s="57"/>
      <c r="N44" s="57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1" ht="15.75" customHeight="1" x14ac:dyDescent="0.2">
      <c r="A45" s="33" t="s">
        <v>146</v>
      </c>
      <c r="B45" s="33">
        <v>2</v>
      </c>
      <c r="C45" s="34">
        <v>65</v>
      </c>
      <c r="D45" s="34">
        <f t="shared" ref="D45:D108" si="13">EXP($B$3+$B$4*LN(C45)+LN($B$9))</f>
        <v>3084.6184757282908</v>
      </c>
      <c r="E45" s="3"/>
      <c r="F45" s="36"/>
      <c r="G45" s="16"/>
      <c r="H45" s="16"/>
      <c r="I45" s="3"/>
      <c r="J45" s="16"/>
      <c r="K45" s="3"/>
      <c r="L45" s="3"/>
      <c r="M45" s="1" t="s">
        <v>349</v>
      </c>
      <c r="N45" s="141"/>
      <c r="O45" s="141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1" ht="15.75" customHeight="1" x14ac:dyDescent="0.2">
      <c r="A46" s="33" t="s">
        <v>146</v>
      </c>
      <c r="B46" s="33">
        <v>3</v>
      </c>
      <c r="C46" s="34">
        <v>75</v>
      </c>
      <c r="D46" s="34">
        <f t="shared" si="13"/>
        <v>4417.6642071958095</v>
      </c>
      <c r="E46" s="3"/>
      <c r="F46" s="36"/>
      <c r="G46" s="16"/>
      <c r="H46" s="16"/>
      <c r="I46" s="3"/>
      <c r="J46" s="16"/>
      <c r="K46" s="3"/>
      <c r="L46" s="3"/>
      <c r="M46" s="42" t="s">
        <v>253</v>
      </c>
      <c r="N46" s="105" t="s">
        <v>350</v>
      </c>
      <c r="O46" s="107" t="s">
        <v>336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1" x14ac:dyDescent="0.2">
      <c r="A47" s="33" t="s">
        <v>146</v>
      </c>
      <c r="B47" s="33">
        <v>4</v>
      </c>
      <c r="C47" s="34">
        <v>60</v>
      </c>
      <c r="D47" s="34">
        <f t="shared" si="13"/>
        <v>2523.1819477537283</v>
      </c>
      <c r="E47" s="3"/>
      <c r="F47" s="36"/>
      <c r="G47" s="16"/>
      <c r="H47" s="16"/>
      <c r="I47" s="3"/>
      <c r="J47" s="16"/>
      <c r="K47" s="3"/>
      <c r="L47" s="3"/>
      <c r="M47" s="46" t="s">
        <v>17</v>
      </c>
      <c r="N47" s="109">
        <f>P34*$G$5*$G$4</f>
        <v>167.01988250773186</v>
      </c>
      <c r="O47" s="108">
        <f>SQRT(T34^2+I5^2+I4^2)</f>
        <v>47.100902496640032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1" ht="15.75" customHeight="1" x14ac:dyDescent="0.2">
      <c r="A48" s="33" t="s">
        <v>146</v>
      </c>
      <c r="B48" s="33">
        <v>5</v>
      </c>
      <c r="C48" s="34">
        <v>65</v>
      </c>
      <c r="D48" s="34">
        <f>EXP($B$3+$B$4*LN(C48)+LN($B$9))</f>
        <v>3084.6184757282908</v>
      </c>
      <c r="E48" s="3"/>
      <c r="F48" s="36"/>
      <c r="G48" s="16"/>
      <c r="H48" s="16"/>
      <c r="I48" s="3"/>
      <c r="J48" s="16"/>
      <c r="K48" s="3"/>
      <c r="L48" s="3"/>
      <c r="M48" s="47" t="s">
        <v>19</v>
      </c>
      <c r="N48" s="109">
        <f t="shared" ref="N48:N49" si="14">P35*$G$5*$G$4</f>
        <v>599.32837239246669</v>
      </c>
      <c r="O48" s="108">
        <f t="shared" ref="O48:O49" si="15">SQRT(T35^2+I6^2+I5^2)</f>
        <v>14.704579033490482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 x14ac:dyDescent="0.2">
      <c r="A49" s="33" t="s">
        <v>146</v>
      </c>
      <c r="B49" s="33">
        <v>6</v>
      </c>
      <c r="C49" s="34">
        <v>70</v>
      </c>
      <c r="D49" s="34">
        <f t="shared" si="13"/>
        <v>3715.2240617242369</v>
      </c>
      <c r="E49" s="3"/>
      <c r="F49" s="3"/>
      <c r="G49" s="3"/>
      <c r="H49" s="3"/>
      <c r="I49" s="3"/>
      <c r="J49" s="3"/>
      <c r="K49" s="3"/>
      <c r="L49" s="3"/>
      <c r="M49" s="14" t="s">
        <v>396</v>
      </c>
      <c r="N49" s="109">
        <v>5</v>
      </c>
      <c r="O49" s="108">
        <v>75</v>
      </c>
      <c r="P49" s="3" t="s">
        <v>397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 x14ac:dyDescent="0.2">
      <c r="A50" s="33" t="s">
        <v>146</v>
      </c>
      <c r="B50" s="33">
        <v>7</v>
      </c>
      <c r="C50" s="34">
        <v>75</v>
      </c>
      <c r="D50" s="34">
        <f t="shared" si="13"/>
        <v>4417.6642071958095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 x14ac:dyDescent="0.2">
      <c r="A51" s="33" t="s">
        <v>146</v>
      </c>
      <c r="B51" s="33">
        <v>8</v>
      </c>
      <c r="C51" s="34">
        <v>65</v>
      </c>
      <c r="D51" s="34">
        <f t="shared" si="13"/>
        <v>3084.6184757282908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 x14ac:dyDescent="0.2">
      <c r="A52" s="33" t="s">
        <v>146</v>
      </c>
      <c r="B52" s="33">
        <v>9</v>
      </c>
      <c r="C52" s="34">
        <v>70</v>
      </c>
      <c r="D52" s="34">
        <f>EXP($B$3+$B$4*LN(C52)+LN($B$9))</f>
        <v>3715.2240617242369</v>
      </c>
      <c r="E52" s="3"/>
      <c r="F52" s="3"/>
      <c r="G52" s="3"/>
      <c r="H52" s="3"/>
      <c r="I52" s="3"/>
      <c r="J52" s="3"/>
      <c r="K52" s="3"/>
      <c r="L52" s="3"/>
      <c r="M52" s="1" t="s">
        <v>367</v>
      </c>
      <c r="N52" s="39"/>
      <c r="O52" s="39"/>
      <c r="P52" s="4"/>
      <c r="Q52" s="39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 x14ac:dyDescent="0.2">
      <c r="A53" s="33" t="s">
        <v>146</v>
      </c>
      <c r="B53" s="33">
        <v>10</v>
      </c>
      <c r="C53" s="34">
        <v>65</v>
      </c>
      <c r="D53" s="34">
        <f t="shared" si="13"/>
        <v>3084.6184757282908</v>
      </c>
      <c r="E53" s="3"/>
      <c r="F53" s="3"/>
      <c r="G53" s="3"/>
      <c r="H53" s="3"/>
      <c r="I53" s="3"/>
      <c r="J53" s="3"/>
      <c r="K53" s="3"/>
      <c r="L53" s="3"/>
      <c r="M53" s="41" t="s">
        <v>260</v>
      </c>
      <c r="N53" s="50" t="s">
        <v>310</v>
      </c>
      <c r="O53" s="50" t="s">
        <v>311</v>
      </c>
      <c r="P53" s="115" t="s">
        <v>365</v>
      </c>
      <c r="Q53" s="108" t="s">
        <v>258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 x14ac:dyDescent="0.2">
      <c r="A54" s="33" t="s">
        <v>146</v>
      </c>
      <c r="B54" s="33">
        <v>11</v>
      </c>
      <c r="C54" s="34">
        <v>70</v>
      </c>
      <c r="D54" s="34">
        <f t="shared" si="13"/>
        <v>3715.2240617242369</v>
      </c>
      <c r="E54" s="3"/>
      <c r="F54" s="3"/>
      <c r="G54" s="3"/>
      <c r="H54" s="3"/>
      <c r="I54" s="3"/>
      <c r="J54" s="3"/>
      <c r="K54" s="3"/>
      <c r="L54" s="3"/>
      <c r="M54" s="51" t="s">
        <v>398</v>
      </c>
      <c r="N54" s="7">
        <f>N47</f>
        <v>167.01988250773186</v>
      </c>
      <c r="O54" s="7">
        <f>N49</f>
        <v>5</v>
      </c>
      <c r="P54" s="139">
        <f>(N54-O54)</f>
        <v>162.01988250773186</v>
      </c>
      <c r="Q54" s="140">
        <f>SQRT((O47*N47)^2+(O$49*N$49)^2)/(N47-N$49)</f>
        <v>48.609589762400581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 x14ac:dyDescent="0.2">
      <c r="A55" s="33" t="s">
        <v>146</v>
      </c>
      <c r="B55" s="33">
        <v>12</v>
      </c>
      <c r="C55" s="34">
        <v>75</v>
      </c>
      <c r="D55" s="34">
        <f t="shared" si="13"/>
        <v>4417.6642071958095</v>
      </c>
      <c r="E55" s="3"/>
      <c r="F55" s="3"/>
      <c r="G55" s="3"/>
      <c r="H55" s="3"/>
      <c r="I55" s="3"/>
      <c r="J55" s="3"/>
      <c r="K55" s="3"/>
      <c r="L55" s="3"/>
      <c r="M55" s="33" t="s">
        <v>399</v>
      </c>
      <c r="N55" s="7">
        <f>N48</f>
        <v>599.32837239246669</v>
      </c>
      <c r="O55" s="7">
        <f>N49</f>
        <v>5</v>
      </c>
      <c r="P55" s="139">
        <f>(N55-O55)</f>
        <v>594.32837239246669</v>
      </c>
      <c r="Q55" s="140">
        <f>SQRT((O48*N48)^2+(O$49*N$49)^2)/(N48-N$49)</f>
        <v>14.841704699872526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 x14ac:dyDescent="0.2">
      <c r="A56" s="33" t="s">
        <v>148</v>
      </c>
      <c r="B56" s="33">
        <v>13</v>
      </c>
      <c r="C56" s="34">
        <v>55</v>
      </c>
      <c r="D56" s="34">
        <f t="shared" si="13"/>
        <v>2028.1463066643889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 x14ac:dyDescent="0.2">
      <c r="A57" s="33" t="s">
        <v>148</v>
      </c>
      <c r="B57" s="33">
        <v>14</v>
      </c>
      <c r="C57" s="34">
        <v>75</v>
      </c>
      <c r="D57" s="34">
        <f t="shared" si="13"/>
        <v>4417.6642071958095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 x14ac:dyDescent="0.2">
      <c r="A58" s="33" t="s">
        <v>148</v>
      </c>
      <c r="B58" s="33">
        <v>15</v>
      </c>
      <c r="C58" s="34">
        <v>65</v>
      </c>
      <c r="D58" s="34">
        <f t="shared" si="13"/>
        <v>3084.6184757282908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 x14ac:dyDescent="0.2">
      <c r="A59" s="33" t="s">
        <v>148</v>
      </c>
      <c r="B59" s="33">
        <v>16</v>
      </c>
      <c r="C59" s="34">
        <v>70</v>
      </c>
      <c r="D59" s="34">
        <f t="shared" si="13"/>
        <v>3715.2240617242369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 x14ac:dyDescent="0.2">
      <c r="A60" s="33" t="s">
        <v>148</v>
      </c>
      <c r="B60" s="33">
        <v>17</v>
      </c>
      <c r="C60" s="34">
        <v>65</v>
      </c>
      <c r="D60" s="34">
        <f t="shared" si="13"/>
        <v>3084.6184757282908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 x14ac:dyDescent="0.2">
      <c r="A61" s="33" t="s">
        <v>148</v>
      </c>
      <c r="B61" s="33">
        <v>18</v>
      </c>
      <c r="C61" s="34">
        <v>45</v>
      </c>
      <c r="D61" s="34">
        <f t="shared" si="13"/>
        <v>1225.6101245250904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 x14ac:dyDescent="0.2">
      <c r="A62" s="33" t="s">
        <v>148</v>
      </c>
      <c r="B62" s="33">
        <v>19</v>
      </c>
      <c r="C62" s="34">
        <v>55</v>
      </c>
      <c r="D62" s="34">
        <f t="shared" si="13"/>
        <v>2028.1463066643889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 x14ac:dyDescent="0.2">
      <c r="A63" s="33" t="s">
        <v>148</v>
      </c>
      <c r="B63" s="33">
        <v>20</v>
      </c>
      <c r="C63" s="34">
        <v>75</v>
      </c>
      <c r="D63" s="34">
        <f t="shared" si="13"/>
        <v>4417.6642071958095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 x14ac:dyDescent="0.2">
      <c r="A64" s="33" t="s">
        <v>148</v>
      </c>
      <c r="B64" s="33">
        <v>21</v>
      </c>
      <c r="C64" s="34">
        <v>65</v>
      </c>
      <c r="D64" s="34">
        <f t="shared" si="13"/>
        <v>3084.6184757282908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 x14ac:dyDescent="0.2">
      <c r="A65" s="33" t="s">
        <v>148</v>
      </c>
      <c r="B65" s="33">
        <v>22</v>
      </c>
      <c r="C65" s="34">
        <v>70</v>
      </c>
      <c r="D65" s="34">
        <f t="shared" si="13"/>
        <v>3715.2240617242369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 x14ac:dyDescent="0.2">
      <c r="A66" s="33" t="s">
        <v>148</v>
      </c>
      <c r="B66" s="33">
        <v>23</v>
      </c>
      <c r="C66" s="34">
        <v>65</v>
      </c>
      <c r="D66" s="34">
        <f t="shared" si="13"/>
        <v>3084.6184757282908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 x14ac:dyDescent="0.2">
      <c r="A67" s="33" t="s">
        <v>148</v>
      </c>
      <c r="B67" s="33">
        <v>24</v>
      </c>
      <c r="C67" s="34">
        <v>70</v>
      </c>
      <c r="D67" s="34">
        <f t="shared" si="13"/>
        <v>3715.2240617242369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 x14ac:dyDescent="0.2">
      <c r="A68" s="33" t="s">
        <v>148</v>
      </c>
      <c r="B68" s="33">
        <v>25</v>
      </c>
      <c r="C68" s="34">
        <v>75</v>
      </c>
      <c r="D68" s="34">
        <f t="shared" si="13"/>
        <v>4417.6642071958095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 x14ac:dyDescent="0.2">
      <c r="A69" s="33" t="s">
        <v>148</v>
      </c>
      <c r="B69" s="33">
        <v>26</v>
      </c>
      <c r="C69" s="34">
        <v>65</v>
      </c>
      <c r="D69" s="34">
        <f t="shared" si="13"/>
        <v>3084.6184757282908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 x14ac:dyDescent="0.2">
      <c r="A70" s="33" t="s">
        <v>149</v>
      </c>
      <c r="B70" s="33">
        <v>27</v>
      </c>
      <c r="C70" s="34">
        <v>85</v>
      </c>
      <c r="D70" s="34">
        <f t="shared" si="13"/>
        <v>6048.2597456002604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 x14ac:dyDescent="0.2">
      <c r="A71" s="33" t="s">
        <v>149</v>
      </c>
      <c r="B71" s="33">
        <v>28</v>
      </c>
      <c r="C71" s="34">
        <v>65</v>
      </c>
      <c r="D71" s="34">
        <f t="shared" si="13"/>
        <v>3084.6184757282908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 x14ac:dyDescent="0.2">
      <c r="A72" s="33" t="s">
        <v>149</v>
      </c>
      <c r="B72" s="33">
        <v>29</v>
      </c>
      <c r="C72" s="34">
        <v>75</v>
      </c>
      <c r="D72" s="34">
        <f t="shared" si="13"/>
        <v>4417.6642071958095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 x14ac:dyDescent="0.2">
      <c r="A73" s="33" t="s">
        <v>149</v>
      </c>
      <c r="B73" s="33">
        <v>30</v>
      </c>
      <c r="C73" s="34">
        <v>65</v>
      </c>
      <c r="D73" s="34">
        <f t="shared" si="13"/>
        <v>3084.6184757282908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 x14ac:dyDescent="0.2">
      <c r="A74" s="33" t="s">
        <v>149</v>
      </c>
      <c r="B74" s="33">
        <v>31</v>
      </c>
      <c r="C74" s="34">
        <v>65</v>
      </c>
      <c r="D74" s="34">
        <f t="shared" si="13"/>
        <v>3084.6184757282908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 x14ac:dyDescent="0.2">
      <c r="A75" s="33" t="s">
        <v>149</v>
      </c>
      <c r="B75" s="33">
        <v>32</v>
      </c>
      <c r="C75" s="34">
        <v>75</v>
      </c>
      <c r="D75" s="34">
        <f t="shared" si="13"/>
        <v>4417.6642071958095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 x14ac:dyDescent="0.2">
      <c r="A76" s="33" t="s">
        <v>149</v>
      </c>
      <c r="B76" s="33">
        <v>33</v>
      </c>
      <c r="C76" s="34">
        <v>65</v>
      </c>
      <c r="D76" s="34">
        <f t="shared" si="13"/>
        <v>3084.6184757282908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 x14ac:dyDescent="0.2">
      <c r="A77" s="33" t="s">
        <v>149</v>
      </c>
      <c r="B77" s="33">
        <v>34</v>
      </c>
      <c r="C77" s="34">
        <v>70</v>
      </c>
      <c r="D77" s="34">
        <f t="shared" si="13"/>
        <v>3715.2240617242369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 x14ac:dyDescent="0.2">
      <c r="A78" s="33" t="s">
        <v>149</v>
      </c>
      <c r="B78" s="33">
        <v>35</v>
      </c>
      <c r="C78" s="34">
        <v>65</v>
      </c>
      <c r="D78" s="34">
        <f t="shared" si="13"/>
        <v>3084.6184757282908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 x14ac:dyDescent="0.2">
      <c r="A79" s="33" t="s">
        <v>149</v>
      </c>
      <c r="B79" s="33">
        <v>36</v>
      </c>
      <c r="C79" s="34">
        <v>65</v>
      </c>
      <c r="D79" s="34">
        <f t="shared" si="13"/>
        <v>3084.6184757282908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 x14ac:dyDescent="0.2">
      <c r="A80" s="33" t="s">
        <v>149</v>
      </c>
      <c r="B80" s="33">
        <v>37</v>
      </c>
      <c r="C80" s="34">
        <v>65</v>
      </c>
      <c r="D80" s="34">
        <f t="shared" si="13"/>
        <v>3084.6184757282908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 x14ac:dyDescent="0.2">
      <c r="A81" s="33" t="s">
        <v>149</v>
      </c>
      <c r="B81" s="33">
        <v>38</v>
      </c>
      <c r="C81" s="34">
        <v>55</v>
      </c>
      <c r="D81" s="34">
        <f t="shared" si="13"/>
        <v>2028.1463066643889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 x14ac:dyDescent="0.2">
      <c r="A82" s="33" t="s">
        <v>150</v>
      </c>
      <c r="B82" s="33">
        <v>39</v>
      </c>
      <c r="C82" s="34">
        <v>55</v>
      </c>
      <c r="D82" s="34">
        <f t="shared" si="13"/>
        <v>2028.1463066643889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 x14ac:dyDescent="0.2">
      <c r="A83" s="33" t="s">
        <v>150</v>
      </c>
      <c r="B83" s="33">
        <v>40</v>
      </c>
      <c r="C83" s="34">
        <v>75</v>
      </c>
      <c r="D83" s="34">
        <f t="shared" si="13"/>
        <v>4417.6642071958095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 x14ac:dyDescent="0.2">
      <c r="A84" s="33" t="s">
        <v>150</v>
      </c>
      <c r="B84" s="33">
        <v>41</v>
      </c>
      <c r="C84" s="34">
        <v>85</v>
      </c>
      <c r="D84" s="34">
        <f t="shared" si="13"/>
        <v>6048.2597456002604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 x14ac:dyDescent="0.2">
      <c r="A85" s="33" t="s">
        <v>150</v>
      </c>
      <c r="B85" s="33">
        <v>42</v>
      </c>
      <c r="C85" s="34">
        <v>50</v>
      </c>
      <c r="D85" s="34">
        <f t="shared" si="13"/>
        <v>1596.6276324579298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 x14ac:dyDescent="0.2">
      <c r="A86" s="33" t="s">
        <v>150</v>
      </c>
      <c r="B86" s="33">
        <v>43</v>
      </c>
      <c r="C86" s="34">
        <v>70</v>
      </c>
      <c r="D86" s="34">
        <f t="shared" si="13"/>
        <v>3715.2240617242369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 x14ac:dyDescent="0.2">
      <c r="A87" s="33" t="s">
        <v>150</v>
      </c>
      <c r="B87" s="33">
        <v>44</v>
      </c>
      <c r="C87" s="34">
        <v>55</v>
      </c>
      <c r="D87" s="34">
        <f t="shared" si="13"/>
        <v>2028.1463066643889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 x14ac:dyDescent="0.2">
      <c r="A88" s="33" t="s">
        <v>150</v>
      </c>
      <c r="B88" s="33">
        <v>45</v>
      </c>
      <c r="C88" s="34">
        <v>75</v>
      </c>
      <c r="D88" s="34">
        <f t="shared" si="13"/>
        <v>4417.6642071958095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 x14ac:dyDescent="0.2">
      <c r="A89" s="33" t="s">
        <v>150</v>
      </c>
      <c r="B89" s="33">
        <v>46</v>
      </c>
      <c r="C89" s="34">
        <v>75</v>
      </c>
      <c r="D89" s="34">
        <f t="shared" si="13"/>
        <v>4417.6642071958095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 x14ac:dyDescent="0.2">
      <c r="A90" s="33" t="s">
        <v>150</v>
      </c>
      <c r="B90" s="33">
        <v>47</v>
      </c>
      <c r="C90" s="34">
        <v>50</v>
      </c>
      <c r="D90" s="34">
        <f t="shared" si="13"/>
        <v>1596.6276324579298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 x14ac:dyDescent="0.2">
      <c r="A91" s="33" t="s">
        <v>150</v>
      </c>
      <c r="B91" s="33">
        <v>48</v>
      </c>
      <c r="C91" s="34">
        <v>70</v>
      </c>
      <c r="D91" s="34">
        <f t="shared" si="13"/>
        <v>3715.2240617242369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 x14ac:dyDescent="0.2">
      <c r="A92" s="33" t="s">
        <v>150</v>
      </c>
      <c r="B92" s="33">
        <v>49</v>
      </c>
      <c r="C92" s="34">
        <v>50</v>
      </c>
      <c r="D92" s="34">
        <f t="shared" si="13"/>
        <v>1596.6276324579298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 x14ac:dyDescent="0.2">
      <c r="A93" s="33" t="s">
        <v>150</v>
      </c>
      <c r="B93" s="33">
        <v>50</v>
      </c>
      <c r="C93" s="34">
        <v>75</v>
      </c>
      <c r="D93" s="34">
        <f t="shared" si="13"/>
        <v>4417.6642071958095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 x14ac:dyDescent="0.2">
      <c r="A94" s="33" t="s">
        <v>151</v>
      </c>
      <c r="B94" s="33">
        <v>51</v>
      </c>
      <c r="C94" s="34">
        <v>75</v>
      </c>
      <c r="D94" s="34">
        <f t="shared" si="13"/>
        <v>4417.6642071958095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 x14ac:dyDescent="0.2">
      <c r="A95" s="33" t="s">
        <v>151</v>
      </c>
      <c r="B95" s="33">
        <v>52</v>
      </c>
      <c r="C95" s="34">
        <v>65</v>
      </c>
      <c r="D95" s="34">
        <f t="shared" si="13"/>
        <v>3084.6184757282908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 x14ac:dyDescent="0.2">
      <c r="A96" s="33" t="s">
        <v>151</v>
      </c>
      <c r="B96" s="33">
        <v>53</v>
      </c>
      <c r="C96" s="34">
        <v>70</v>
      </c>
      <c r="D96" s="34">
        <f t="shared" si="13"/>
        <v>3715.2240617242369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 x14ac:dyDescent="0.2">
      <c r="A97" s="33" t="s">
        <v>151</v>
      </c>
      <c r="B97" s="33">
        <v>54</v>
      </c>
      <c r="C97" s="34">
        <v>65</v>
      </c>
      <c r="D97" s="34">
        <f t="shared" si="13"/>
        <v>3084.6184757282908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 x14ac:dyDescent="0.2">
      <c r="A98" s="33" t="s">
        <v>151</v>
      </c>
      <c r="B98" s="33">
        <v>55</v>
      </c>
      <c r="C98" s="34">
        <v>65</v>
      </c>
      <c r="D98" s="34">
        <f t="shared" si="13"/>
        <v>3084.6184757282908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 x14ac:dyDescent="0.2">
      <c r="A99" s="33" t="s">
        <v>151</v>
      </c>
      <c r="B99" s="33">
        <v>56</v>
      </c>
      <c r="C99" s="34">
        <v>70</v>
      </c>
      <c r="D99" s="34">
        <f t="shared" si="13"/>
        <v>3715.2240617242369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 x14ac:dyDescent="0.2">
      <c r="A100" s="33" t="s">
        <v>151</v>
      </c>
      <c r="B100" s="33">
        <v>57</v>
      </c>
      <c r="C100" s="34">
        <v>75</v>
      </c>
      <c r="D100" s="34">
        <f t="shared" si="13"/>
        <v>4417.6642071958095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 x14ac:dyDescent="0.2">
      <c r="A101" s="33" t="s">
        <v>151</v>
      </c>
      <c r="B101" s="33">
        <v>58</v>
      </c>
      <c r="C101" s="34">
        <v>65</v>
      </c>
      <c r="D101" s="34">
        <f t="shared" si="13"/>
        <v>3084.6184757282908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 x14ac:dyDescent="0.2">
      <c r="A102" s="33" t="s">
        <v>151</v>
      </c>
      <c r="B102" s="33">
        <v>59</v>
      </c>
      <c r="C102" s="34">
        <v>70</v>
      </c>
      <c r="D102" s="34">
        <f t="shared" si="13"/>
        <v>3715.2240617242369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 x14ac:dyDescent="0.2">
      <c r="A103" s="33" t="s">
        <v>151</v>
      </c>
      <c r="B103" s="33">
        <v>60</v>
      </c>
      <c r="C103" s="34">
        <v>75</v>
      </c>
      <c r="D103" s="34">
        <f t="shared" si="13"/>
        <v>4417.6642071958095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 x14ac:dyDescent="0.2">
      <c r="A104" s="33" t="s">
        <v>152</v>
      </c>
      <c r="B104" s="33">
        <v>61</v>
      </c>
      <c r="C104" s="34">
        <v>55</v>
      </c>
      <c r="D104" s="34">
        <f t="shared" si="13"/>
        <v>2028.1463066643889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 x14ac:dyDescent="0.2">
      <c r="A105" s="33" t="s">
        <v>152</v>
      </c>
      <c r="B105" s="33">
        <v>62</v>
      </c>
      <c r="C105" s="34">
        <v>60</v>
      </c>
      <c r="D105" s="34">
        <f t="shared" si="13"/>
        <v>2523.1819477537283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 x14ac:dyDescent="0.2">
      <c r="A106" s="33" t="s">
        <v>152</v>
      </c>
      <c r="B106" s="33">
        <v>63</v>
      </c>
      <c r="C106" s="34">
        <v>60</v>
      </c>
      <c r="D106" s="34">
        <f t="shared" si="13"/>
        <v>2523.1819477537283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 x14ac:dyDescent="0.2">
      <c r="A107" s="33" t="s">
        <v>152</v>
      </c>
      <c r="B107" s="33">
        <v>64</v>
      </c>
      <c r="C107" s="34">
        <v>55</v>
      </c>
      <c r="D107" s="34">
        <f t="shared" si="13"/>
        <v>2028.1463066643889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 x14ac:dyDescent="0.2">
      <c r="A108" s="33" t="s">
        <v>152</v>
      </c>
      <c r="B108" s="33">
        <v>65</v>
      </c>
      <c r="C108" s="34">
        <v>50</v>
      </c>
      <c r="D108" s="34">
        <f t="shared" si="13"/>
        <v>1596.6276324579298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 x14ac:dyDescent="0.2">
      <c r="A109" s="33" t="s">
        <v>152</v>
      </c>
      <c r="B109" s="33">
        <v>66</v>
      </c>
      <c r="C109" s="34">
        <v>55</v>
      </c>
      <c r="D109" s="34">
        <f t="shared" ref="D109:D139" si="16">EXP($B$3+$B$4*LN(C109)+LN($B$9))</f>
        <v>2028.1463066643889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 x14ac:dyDescent="0.2">
      <c r="A110" s="33" t="s">
        <v>152</v>
      </c>
      <c r="B110" s="33">
        <v>67</v>
      </c>
      <c r="C110" s="34">
        <v>60</v>
      </c>
      <c r="D110" s="34">
        <f t="shared" si="16"/>
        <v>2523.1819477537283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 x14ac:dyDescent="0.2">
      <c r="A111" s="33" t="s">
        <v>152</v>
      </c>
      <c r="B111" s="33">
        <v>68</v>
      </c>
      <c r="C111" s="34">
        <v>60</v>
      </c>
      <c r="D111" s="34">
        <f t="shared" si="16"/>
        <v>2523.1819477537283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 x14ac:dyDescent="0.2">
      <c r="A112" s="33" t="s">
        <v>152</v>
      </c>
      <c r="B112" s="33">
        <v>69</v>
      </c>
      <c r="C112" s="34">
        <v>55</v>
      </c>
      <c r="D112" s="34">
        <f t="shared" si="16"/>
        <v>2028.1463066643889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 x14ac:dyDescent="0.2">
      <c r="A113" s="33" t="s">
        <v>152</v>
      </c>
      <c r="B113" s="33">
        <v>70</v>
      </c>
      <c r="C113" s="34">
        <v>50</v>
      </c>
      <c r="D113" s="34">
        <f t="shared" si="16"/>
        <v>1596.6276324579298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 x14ac:dyDescent="0.2">
      <c r="A114" s="33" t="s">
        <v>152</v>
      </c>
      <c r="B114" s="33">
        <v>71</v>
      </c>
      <c r="C114" s="34">
        <v>65</v>
      </c>
      <c r="D114" s="34">
        <f t="shared" si="16"/>
        <v>3084.6184757282908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 x14ac:dyDescent="0.2">
      <c r="A115" s="33" t="s">
        <v>152</v>
      </c>
      <c r="B115" s="33">
        <v>72</v>
      </c>
      <c r="C115" s="34">
        <v>65</v>
      </c>
      <c r="D115" s="34">
        <f t="shared" si="16"/>
        <v>3084.6184757282908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 x14ac:dyDescent="0.2">
      <c r="A116" s="33" t="s">
        <v>153</v>
      </c>
      <c r="B116" s="33">
        <v>73</v>
      </c>
      <c r="C116" s="34">
        <v>70</v>
      </c>
      <c r="D116" s="34">
        <f t="shared" si="16"/>
        <v>3715.2240617242369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 x14ac:dyDescent="0.2">
      <c r="A117" s="33" t="s">
        <v>153</v>
      </c>
      <c r="B117" s="33">
        <v>74</v>
      </c>
      <c r="C117" s="34">
        <v>75</v>
      </c>
      <c r="D117" s="34">
        <f t="shared" si="16"/>
        <v>4417.6642071958095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 x14ac:dyDescent="0.2">
      <c r="A118" s="33" t="s">
        <v>153</v>
      </c>
      <c r="B118" s="33">
        <v>75</v>
      </c>
      <c r="C118" s="34">
        <v>65</v>
      </c>
      <c r="D118" s="34">
        <f t="shared" si="16"/>
        <v>3084.6184757282908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 x14ac:dyDescent="0.2">
      <c r="A119" s="33" t="s">
        <v>153</v>
      </c>
      <c r="B119" s="33">
        <v>76</v>
      </c>
      <c r="C119" s="34">
        <v>70</v>
      </c>
      <c r="D119" s="34">
        <f t="shared" si="16"/>
        <v>3715.2240617242369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 x14ac:dyDescent="0.2">
      <c r="A120" s="33" t="s">
        <v>153</v>
      </c>
      <c r="B120" s="33">
        <v>77</v>
      </c>
      <c r="C120" s="34">
        <v>70</v>
      </c>
      <c r="D120" s="34">
        <f t="shared" si="16"/>
        <v>3715.2240617242369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 x14ac:dyDescent="0.2">
      <c r="A121" s="33" t="s">
        <v>153</v>
      </c>
      <c r="B121" s="33">
        <v>78</v>
      </c>
      <c r="C121" s="34">
        <v>75</v>
      </c>
      <c r="D121" s="34">
        <f t="shared" si="16"/>
        <v>4417.6642071958095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 x14ac:dyDescent="0.2">
      <c r="A122" s="33" t="s">
        <v>153</v>
      </c>
      <c r="B122" s="33">
        <v>79</v>
      </c>
      <c r="C122" s="34">
        <v>65</v>
      </c>
      <c r="D122" s="34">
        <f t="shared" si="16"/>
        <v>3084.6184757282908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 x14ac:dyDescent="0.2">
      <c r="A123" s="33" t="s">
        <v>153</v>
      </c>
      <c r="B123" s="33">
        <v>80</v>
      </c>
      <c r="C123" s="34">
        <v>70</v>
      </c>
      <c r="D123" s="34">
        <f t="shared" si="16"/>
        <v>3715.2240617242369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 x14ac:dyDescent="0.2">
      <c r="A124" s="33" t="s">
        <v>153</v>
      </c>
      <c r="B124" s="33">
        <v>81</v>
      </c>
      <c r="C124" s="34">
        <v>65</v>
      </c>
      <c r="D124" s="34">
        <f t="shared" si="16"/>
        <v>3084.6184757282908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 x14ac:dyDescent="0.2">
      <c r="A125" s="33" t="s">
        <v>153</v>
      </c>
      <c r="B125" s="33">
        <v>82</v>
      </c>
      <c r="C125" s="34">
        <v>75</v>
      </c>
      <c r="D125" s="34">
        <f t="shared" si="16"/>
        <v>4417.6642071958095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 x14ac:dyDescent="0.2">
      <c r="A126" s="33" t="s">
        <v>154</v>
      </c>
      <c r="B126" s="33">
        <v>83</v>
      </c>
      <c r="C126" s="34">
        <v>55</v>
      </c>
      <c r="D126" s="34">
        <f t="shared" si="16"/>
        <v>2028.1463066643889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 x14ac:dyDescent="0.2">
      <c r="A127" s="33" t="s">
        <v>154</v>
      </c>
      <c r="B127" s="33">
        <v>84</v>
      </c>
      <c r="C127" s="34">
        <v>45</v>
      </c>
      <c r="D127" s="34">
        <f t="shared" si="16"/>
        <v>1225.6101245250904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 x14ac:dyDescent="0.2">
      <c r="A128" s="33" t="s">
        <v>154</v>
      </c>
      <c r="B128" s="33">
        <v>85</v>
      </c>
      <c r="C128" s="34">
        <v>65</v>
      </c>
      <c r="D128" s="34">
        <f t="shared" si="16"/>
        <v>3084.6184757282908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 x14ac:dyDescent="0.2">
      <c r="A129" s="33" t="s">
        <v>154</v>
      </c>
      <c r="B129" s="33">
        <v>86</v>
      </c>
      <c r="C129" s="34">
        <v>70</v>
      </c>
      <c r="D129" s="34">
        <f t="shared" si="16"/>
        <v>3715.2240617242369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 x14ac:dyDescent="0.2">
      <c r="A130" s="33" t="s">
        <v>154</v>
      </c>
      <c r="B130" s="33">
        <v>87</v>
      </c>
      <c r="C130" s="34">
        <v>60</v>
      </c>
      <c r="D130" s="34">
        <f t="shared" si="16"/>
        <v>2523.1819477537283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 x14ac:dyDescent="0.2">
      <c r="A131" s="33" t="s">
        <v>154</v>
      </c>
      <c r="B131" s="33">
        <v>88</v>
      </c>
      <c r="C131" s="34">
        <v>65</v>
      </c>
      <c r="D131" s="34">
        <f t="shared" si="16"/>
        <v>3084.6184757282908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 x14ac:dyDescent="0.2">
      <c r="A132" s="33" t="s">
        <v>154</v>
      </c>
      <c r="B132" s="33">
        <v>89</v>
      </c>
      <c r="C132" s="34">
        <v>55</v>
      </c>
      <c r="D132" s="34">
        <f>EXP($B$3+$B$4*LN(C132)+LN($B$9))</f>
        <v>2028.1463066643889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 x14ac:dyDescent="0.2">
      <c r="A133" s="33" t="s">
        <v>154</v>
      </c>
      <c r="B133" s="33">
        <v>90</v>
      </c>
      <c r="C133" s="34">
        <v>45</v>
      </c>
      <c r="D133" s="34">
        <f t="shared" si="16"/>
        <v>1225.6101245250904</v>
      </c>
      <c r="E133" s="3"/>
      <c r="F133" s="36"/>
      <c r="G133" s="16"/>
      <c r="H133" s="1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 x14ac:dyDescent="0.2">
      <c r="A134" s="33" t="s">
        <v>154</v>
      </c>
      <c r="B134" s="33">
        <v>91</v>
      </c>
      <c r="C134" s="34">
        <v>65</v>
      </c>
      <c r="D134" s="34">
        <f t="shared" si="16"/>
        <v>3084.6184757282908</v>
      </c>
      <c r="E134" s="3"/>
      <c r="F134" s="36"/>
      <c r="G134" s="16"/>
      <c r="H134" s="1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 x14ac:dyDescent="0.2">
      <c r="A135" s="33" t="s">
        <v>154</v>
      </c>
      <c r="B135" s="33">
        <v>92</v>
      </c>
      <c r="C135" s="34">
        <v>70</v>
      </c>
      <c r="D135" s="34">
        <f t="shared" si="16"/>
        <v>3715.2240617242369</v>
      </c>
      <c r="E135" s="3"/>
      <c r="F135" s="36"/>
      <c r="G135" s="16"/>
      <c r="H135" s="1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 x14ac:dyDescent="0.2">
      <c r="A136" s="33" t="s">
        <v>154</v>
      </c>
      <c r="B136" s="33">
        <v>93</v>
      </c>
      <c r="C136" s="34">
        <v>60</v>
      </c>
      <c r="D136" s="34">
        <f t="shared" si="16"/>
        <v>2523.1819477537283</v>
      </c>
      <c r="E136" s="3"/>
      <c r="F136" s="36"/>
      <c r="G136" s="16"/>
      <c r="H136" s="1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 x14ac:dyDescent="0.2">
      <c r="A137" s="33" t="s">
        <v>154</v>
      </c>
      <c r="B137" s="33">
        <v>94</v>
      </c>
      <c r="C137" s="34">
        <v>65</v>
      </c>
      <c r="D137" s="34">
        <f t="shared" si="16"/>
        <v>3084.6184757282908</v>
      </c>
      <c r="E137" s="3"/>
      <c r="F137" s="36"/>
      <c r="G137" s="16"/>
      <c r="H137" s="1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 x14ac:dyDescent="0.2">
      <c r="A138" s="33" t="s">
        <v>154</v>
      </c>
      <c r="B138" s="33">
        <v>95</v>
      </c>
      <c r="C138" s="34">
        <v>60</v>
      </c>
      <c r="D138" s="34">
        <f t="shared" si="16"/>
        <v>2523.1819477537283</v>
      </c>
      <c r="E138" s="3"/>
      <c r="F138" s="36"/>
      <c r="G138" s="16"/>
      <c r="H138" s="1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 x14ac:dyDescent="0.2">
      <c r="A139" s="33" t="s">
        <v>154</v>
      </c>
      <c r="B139" s="33">
        <v>96</v>
      </c>
      <c r="C139" s="34">
        <v>65</v>
      </c>
      <c r="D139" s="34">
        <f t="shared" si="16"/>
        <v>3084.6184757282908</v>
      </c>
      <c r="E139" s="3"/>
      <c r="F139" s="36"/>
      <c r="G139" s="16"/>
      <c r="H139" s="1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 x14ac:dyDescent="0.2">
      <c r="A140" s="14"/>
      <c r="B140" s="14"/>
      <c r="C140" s="35"/>
      <c r="D140" s="35"/>
      <c r="E140" s="3"/>
      <c r="F140" s="36"/>
      <c r="G140" s="16"/>
      <c r="H140" s="1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 x14ac:dyDescent="0.2">
      <c r="A141" s="14"/>
      <c r="B141" s="14"/>
      <c r="C141" s="35"/>
      <c r="D141" s="35"/>
      <c r="E141" s="3"/>
      <c r="F141" s="36"/>
      <c r="G141" s="16"/>
      <c r="H141" s="1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 x14ac:dyDescent="0.2">
      <c r="A142" s="14"/>
      <c r="B142" s="14"/>
      <c r="C142" s="35"/>
      <c r="D142" s="35"/>
      <c r="E142" s="3"/>
      <c r="F142" s="36"/>
      <c r="G142" s="16"/>
      <c r="H142" s="1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 x14ac:dyDescent="0.2">
      <c r="A143" s="14"/>
      <c r="B143" s="14"/>
      <c r="C143" s="35"/>
      <c r="D143" s="35"/>
      <c r="E143" s="3"/>
      <c r="F143" s="36"/>
      <c r="G143" s="16"/>
      <c r="H143" s="1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 x14ac:dyDescent="0.2">
      <c r="A144" s="14"/>
      <c r="B144" s="14"/>
      <c r="C144" s="35"/>
      <c r="D144" s="35"/>
      <c r="E144" s="3"/>
      <c r="F144" s="36"/>
      <c r="G144" s="16"/>
      <c r="H144" s="1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1" ht="15.75" customHeight="1" x14ac:dyDescent="0.2">
      <c r="A145" s="14"/>
      <c r="B145" s="14"/>
      <c r="C145" s="35"/>
      <c r="D145" s="35"/>
      <c r="E145" s="3"/>
      <c r="F145" s="36"/>
      <c r="G145" s="16"/>
      <c r="H145" s="1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1" ht="15.75" customHeight="1" x14ac:dyDescent="0.2">
      <c r="A146" s="14"/>
      <c r="B146" s="14"/>
      <c r="C146" s="35"/>
      <c r="D146" s="35"/>
      <c r="E146" s="3"/>
      <c r="F146" s="36"/>
      <c r="G146" s="16"/>
      <c r="H146" s="1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1" ht="15.75" customHeight="1" x14ac:dyDescent="0.2">
      <c r="A147" s="14"/>
      <c r="B147" s="14"/>
      <c r="C147" s="35"/>
      <c r="D147" s="35"/>
      <c r="E147" s="3"/>
      <c r="F147" s="36"/>
      <c r="G147" s="16"/>
      <c r="H147" s="1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1" ht="15.75" customHeight="1" x14ac:dyDescent="0.2">
      <c r="A148" s="14"/>
      <c r="B148" s="14"/>
      <c r="C148" s="35"/>
      <c r="D148" s="35"/>
      <c r="E148" s="3"/>
      <c r="F148" s="36"/>
      <c r="G148" s="16"/>
      <c r="H148" s="1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1" ht="15.75" customHeight="1" x14ac:dyDescent="0.2">
      <c r="A149" s="14"/>
      <c r="B149" s="14"/>
      <c r="C149" s="35"/>
      <c r="D149" s="3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1" ht="15.75" customHeight="1" x14ac:dyDescent="0.2">
      <c r="A150" s="14"/>
      <c r="B150" s="14"/>
      <c r="C150" s="35"/>
      <c r="D150" s="3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1" ht="15.75" customHeight="1" x14ac:dyDescent="0.2">
      <c r="A151" s="3"/>
      <c r="B151" s="3"/>
      <c r="C151" s="12"/>
      <c r="D151" s="12"/>
      <c r="E151" s="3"/>
      <c r="F151" s="16"/>
      <c r="G151" s="16"/>
      <c r="H151" s="3"/>
      <c r="I151" s="1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5.75" customHeight="1" x14ac:dyDescent="0.2">
      <c r="A152" s="3"/>
      <c r="B152" s="3"/>
      <c r="C152" s="12"/>
      <c r="D152" s="12"/>
      <c r="E152" s="3"/>
      <c r="F152" s="16"/>
      <c r="G152" s="16"/>
      <c r="H152" s="3"/>
      <c r="I152" s="1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5.75" customHeight="1" x14ac:dyDescent="0.2">
      <c r="A153" s="3"/>
      <c r="B153" s="3"/>
      <c r="C153" s="12"/>
      <c r="D153" s="12"/>
      <c r="E153" s="3"/>
      <c r="F153" s="16"/>
      <c r="G153" s="16"/>
      <c r="H153" s="3"/>
      <c r="I153" s="1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5.75" customHeight="1" x14ac:dyDescent="0.2">
      <c r="A154" s="3"/>
      <c r="B154" s="3"/>
      <c r="C154" s="12"/>
      <c r="D154" s="12"/>
      <c r="E154" s="3"/>
      <c r="F154" s="16"/>
      <c r="G154" s="16"/>
      <c r="H154" s="3"/>
      <c r="I154" s="1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5.75" customHeight="1" x14ac:dyDescent="0.2">
      <c r="A155" s="3"/>
      <c r="B155" s="3"/>
      <c r="C155" s="12"/>
      <c r="D155" s="12"/>
      <c r="E155" s="3"/>
      <c r="F155" s="16"/>
      <c r="G155" s="16"/>
      <c r="H155" s="3"/>
      <c r="I155" s="1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5.75" customHeight="1" x14ac:dyDescent="0.2">
      <c r="A156" s="3"/>
      <c r="B156" s="3"/>
      <c r="C156" s="12"/>
      <c r="D156" s="12"/>
      <c r="E156" s="3"/>
      <c r="F156" s="16"/>
      <c r="G156" s="16"/>
      <c r="H156" s="3"/>
      <c r="I156" s="1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5.75" customHeight="1" x14ac:dyDescent="0.2">
      <c r="A157" s="3"/>
      <c r="B157" s="3"/>
      <c r="C157" s="12"/>
      <c r="D157" s="12"/>
      <c r="E157" s="3"/>
      <c r="F157" s="16"/>
      <c r="G157" s="16"/>
      <c r="H157" s="3"/>
      <c r="I157" s="1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x14ac:dyDescent="0.2">
      <c r="A158" s="3"/>
      <c r="B158" s="3"/>
      <c r="C158" s="12"/>
      <c r="D158" s="12"/>
      <c r="E158" s="3"/>
      <c r="F158" s="16"/>
      <c r="G158" s="16"/>
      <c r="H158" s="3"/>
      <c r="I158" s="1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5.75" customHeight="1" x14ac:dyDescent="0.2">
      <c r="A159" s="3"/>
      <c r="B159" s="36"/>
      <c r="C159" s="12"/>
      <c r="D159" s="12"/>
      <c r="E159" s="3"/>
      <c r="F159" s="16"/>
      <c r="G159" s="16"/>
      <c r="H159" s="3"/>
      <c r="I159" s="1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5.75" customHeight="1" x14ac:dyDescent="0.2">
      <c r="A160" s="3"/>
      <c r="B160" s="36"/>
      <c r="C160" s="16"/>
      <c r="D160" s="1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5.75" customHeight="1" x14ac:dyDescent="0.2">
      <c r="A161" s="3"/>
      <c r="B161" s="36"/>
      <c r="C161" s="16"/>
      <c r="D161" s="1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5.75" customHeight="1" x14ac:dyDescent="0.2">
      <c r="A162" s="3"/>
      <c r="B162" s="36"/>
      <c r="C162" s="16"/>
      <c r="D162" s="1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5.75" customHeight="1" x14ac:dyDescent="0.2">
      <c r="A163" s="3"/>
      <c r="B163" s="36"/>
      <c r="C163" s="16"/>
      <c r="D163" s="1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5.75" customHeight="1" x14ac:dyDescent="0.2">
      <c r="A164" s="3"/>
      <c r="B164" s="36"/>
      <c r="C164" s="16"/>
      <c r="D164" s="1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5.75" customHeight="1" x14ac:dyDescent="0.2">
      <c r="A165" s="3"/>
      <c r="B165" s="36"/>
      <c r="C165" s="16"/>
      <c r="D165" s="1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5.75" customHeight="1" x14ac:dyDescent="0.2">
      <c r="A166" s="3"/>
      <c r="B166" s="36"/>
      <c r="C166" s="16"/>
      <c r="D166" s="1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5.75" customHeight="1" x14ac:dyDescent="0.2">
      <c r="A167" s="3"/>
      <c r="B167" s="36"/>
      <c r="C167" s="16"/>
      <c r="D167" s="1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5.75" customHeight="1" x14ac:dyDescent="0.2">
      <c r="A168" s="3"/>
      <c r="B168" s="36"/>
      <c r="C168" s="16"/>
      <c r="D168" s="1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5.75" customHeight="1" x14ac:dyDescent="0.2">
      <c r="A169" s="3"/>
      <c r="B169" s="36"/>
      <c r="C169" s="16"/>
      <c r="D169" s="1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5.75" customHeight="1" x14ac:dyDescent="0.2">
      <c r="A170" s="3"/>
      <c r="B170" s="36"/>
      <c r="C170" s="16"/>
      <c r="D170" s="1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5.75" customHeight="1" x14ac:dyDescent="0.2">
      <c r="A171" s="3"/>
      <c r="B171" s="3"/>
      <c r="C171" s="12"/>
      <c r="D171" s="1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5.75" customHeight="1" x14ac:dyDescent="0.2">
      <c r="A172" s="3"/>
      <c r="B172" s="3"/>
      <c r="C172" s="12"/>
      <c r="D172" s="1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5.75" customHeight="1" x14ac:dyDescent="0.2">
      <c r="A173" s="3"/>
      <c r="B173" s="3"/>
      <c r="C173" s="12"/>
      <c r="D173" s="1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5.75" customHeight="1" x14ac:dyDescent="0.2">
      <c r="A174" s="3"/>
      <c r="B174" s="3"/>
      <c r="C174" s="12"/>
      <c r="D174" s="1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5.75" customHeight="1" x14ac:dyDescent="0.2">
      <c r="A175" s="3"/>
      <c r="B175" s="3"/>
      <c r="C175" s="12"/>
      <c r="D175" s="1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5.75" customHeight="1" x14ac:dyDescent="0.2">
      <c r="A176" s="3"/>
      <c r="B176" s="3"/>
      <c r="C176" s="12"/>
      <c r="D176" s="1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5.75" customHeight="1" x14ac:dyDescent="0.2">
      <c r="A177" s="3"/>
      <c r="B177" s="3"/>
      <c r="C177" s="12"/>
      <c r="D177" s="12"/>
      <c r="E177" s="3"/>
      <c r="F177" s="16"/>
      <c r="G177" s="16"/>
      <c r="H177" s="3"/>
      <c r="I177" s="1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5.75" customHeight="1" x14ac:dyDescent="0.2">
      <c r="A178" s="3"/>
      <c r="B178" s="3"/>
      <c r="C178" s="12"/>
      <c r="D178" s="12"/>
      <c r="E178" s="3"/>
      <c r="F178" s="16"/>
      <c r="G178" s="16"/>
      <c r="H178" s="3"/>
      <c r="I178" s="1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5.75" customHeight="1" x14ac:dyDescent="0.2">
      <c r="A179" s="3"/>
      <c r="B179" s="3"/>
      <c r="C179" s="12"/>
      <c r="D179" s="12"/>
      <c r="E179" s="3"/>
      <c r="F179" s="16"/>
      <c r="G179" s="16"/>
      <c r="H179" s="3"/>
      <c r="I179" s="1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5.75" customHeight="1" x14ac:dyDescent="0.2">
      <c r="A180" s="3"/>
      <c r="B180" s="3"/>
      <c r="C180" s="12"/>
      <c r="D180" s="12"/>
      <c r="E180" s="3"/>
      <c r="F180" s="16"/>
      <c r="G180" s="16"/>
      <c r="H180" s="3"/>
      <c r="I180" s="1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5.75" customHeight="1" x14ac:dyDescent="0.2">
      <c r="A181" s="3"/>
      <c r="B181" s="3"/>
      <c r="C181" s="12"/>
      <c r="D181" s="12"/>
      <c r="E181" s="3"/>
      <c r="F181" s="16"/>
      <c r="G181" s="16"/>
      <c r="H181" s="3"/>
      <c r="I181" s="1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5.75" customHeight="1" x14ac:dyDescent="0.2">
      <c r="A182" s="3"/>
      <c r="B182" s="3"/>
      <c r="C182" s="3"/>
      <c r="D182" s="3"/>
      <c r="E182" s="3"/>
      <c r="F182" s="16"/>
      <c r="G182" s="16"/>
      <c r="H182" s="3"/>
      <c r="I182" s="1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5.75" customHeight="1" x14ac:dyDescent="0.2">
      <c r="A183" s="3"/>
      <c r="B183" s="3"/>
      <c r="C183" s="3"/>
      <c r="D183" s="3"/>
      <c r="E183" s="3"/>
      <c r="F183" s="16"/>
      <c r="G183" s="16"/>
      <c r="H183" s="3"/>
      <c r="I183" s="1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x14ac:dyDescent="0.2">
      <c r="A184" s="3"/>
      <c r="B184" s="3"/>
      <c r="C184" s="3"/>
      <c r="D184" s="3"/>
      <c r="E184" s="3"/>
      <c r="F184" s="16"/>
      <c r="G184" s="16"/>
      <c r="H184" s="3"/>
      <c r="I184" s="1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5.75" customHeight="1" x14ac:dyDescent="0.2">
      <c r="A185" s="3"/>
      <c r="B185" s="36"/>
      <c r="C185" s="16"/>
      <c r="D185" s="16"/>
      <c r="E185" s="3"/>
      <c r="F185" s="16"/>
      <c r="G185" s="16"/>
      <c r="H185" s="3"/>
      <c r="I185" s="1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5.75" customHeight="1" x14ac:dyDescent="0.2">
      <c r="A186" s="3"/>
      <c r="B186" s="36"/>
      <c r="C186" s="16"/>
      <c r="D186" s="1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5.75" customHeight="1" x14ac:dyDescent="0.2">
      <c r="A187" s="3"/>
      <c r="B187" s="36"/>
      <c r="C187" s="16"/>
      <c r="D187" s="1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5.75" customHeight="1" x14ac:dyDescent="0.2">
      <c r="A188" s="3"/>
      <c r="B188" s="36"/>
      <c r="C188" s="16"/>
      <c r="D188" s="1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5.75" customHeight="1" x14ac:dyDescent="0.2">
      <c r="A189" s="3"/>
      <c r="B189" s="36"/>
      <c r="C189" s="16"/>
      <c r="D189" s="1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5.75" customHeight="1" x14ac:dyDescent="0.2">
      <c r="A190" s="3"/>
      <c r="B190" s="36"/>
      <c r="C190" s="16"/>
      <c r="D190" s="1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5.75" customHeight="1" x14ac:dyDescent="0.2">
      <c r="A191" s="3"/>
      <c r="B191" s="36"/>
      <c r="C191" s="16"/>
      <c r="D191" s="1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5.75" customHeight="1" x14ac:dyDescent="0.2">
      <c r="A192" s="3"/>
      <c r="B192" s="36"/>
      <c r="C192" s="16"/>
      <c r="D192" s="1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</sheetData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07D1-4E8B-0546-9B7A-A00292CFBFD6}">
  <dimension ref="A3:O27"/>
  <sheetViews>
    <sheetView workbookViewId="0">
      <selection activeCell="F26" sqref="F26"/>
    </sheetView>
  </sheetViews>
  <sheetFormatPr baseColWidth="10" defaultColWidth="8.83203125" defaultRowHeight="15" x14ac:dyDescent="0.2"/>
  <cols>
    <col min="1" max="1" width="29.1640625" customWidth="1"/>
    <col min="2" max="2" width="16.5" customWidth="1"/>
    <col min="3" max="3" width="12.1640625" customWidth="1"/>
    <col min="4" max="7" width="13.33203125" customWidth="1"/>
    <col min="8" max="11" width="12.83203125" customWidth="1"/>
    <col min="12" max="12" width="18.5" customWidth="1"/>
    <col min="13" max="13" width="14.6640625" customWidth="1"/>
    <col min="14" max="15" width="11.5" customWidth="1"/>
  </cols>
  <sheetData>
    <row r="3" spans="1:15" ht="16" thickBot="1" x14ac:dyDescent="0.25">
      <c r="A3" s="1" t="s">
        <v>313</v>
      </c>
      <c r="B3" s="39"/>
      <c r="C3" s="39"/>
      <c r="D3" s="4"/>
      <c r="E3" s="39"/>
    </row>
    <row r="4" spans="1:15" x14ac:dyDescent="0.2">
      <c r="A4" s="178" t="s">
        <v>260</v>
      </c>
      <c r="B4" s="180" t="s">
        <v>364</v>
      </c>
      <c r="C4" s="181"/>
      <c r="D4" s="180" t="s">
        <v>314</v>
      </c>
      <c r="E4" s="181"/>
      <c r="F4" s="181"/>
      <c r="G4" s="183"/>
      <c r="H4" s="180" t="s">
        <v>315</v>
      </c>
      <c r="I4" s="181"/>
      <c r="J4" s="181"/>
      <c r="K4" s="181"/>
      <c r="L4" s="167" t="s">
        <v>316</v>
      </c>
      <c r="M4" s="168"/>
    </row>
    <row r="5" spans="1:15" s="95" customFormat="1" ht="33" thickBot="1" x14ac:dyDescent="0.25">
      <c r="A5" s="179"/>
      <c r="B5" s="136" t="s">
        <v>312</v>
      </c>
      <c r="C5" s="91" t="s">
        <v>318</v>
      </c>
      <c r="D5" s="90" t="s">
        <v>369</v>
      </c>
      <c r="E5" s="94" t="s">
        <v>317</v>
      </c>
      <c r="F5" s="92" t="s">
        <v>370</v>
      </c>
      <c r="G5" s="93" t="s">
        <v>319</v>
      </c>
      <c r="H5" s="90" t="s">
        <v>369</v>
      </c>
      <c r="I5" s="91" t="s">
        <v>317</v>
      </c>
      <c r="J5" s="92" t="s">
        <v>370</v>
      </c>
      <c r="K5" s="94" t="s">
        <v>319</v>
      </c>
      <c r="L5" s="169" t="s">
        <v>374</v>
      </c>
      <c r="M5" s="170" t="s">
        <v>320</v>
      </c>
    </row>
    <row r="6" spans="1:15" x14ac:dyDescent="0.2">
      <c r="A6" s="96" t="s">
        <v>261</v>
      </c>
      <c r="B6" s="150">
        <f>'Cstock EFs'!P21</f>
        <v>162.01988250773186</v>
      </c>
      <c r="C6" s="151">
        <f>'Cstock EFs'!Q21</f>
        <v>47.080208293188576</v>
      </c>
      <c r="D6" s="150">
        <f>'Activity Data'!M3/5</f>
        <v>100</v>
      </c>
      <c r="E6" s="163">
        <f>'Activity Data'!Q3</f>
        <v>59.590761226295896</v>
      </c>
      <c r="F6" s="152">
        <f>+D6*B6*44/12</f>
        <v>59407.290252835024</v>
      </c>
      <c r="G6" s="153">
        <f>SQRT(E6^2+C6^2)</f>
        <v>75.944748577234961</v>
      </c>
      <c r="H6" s="150">
        <f>'Activity Data'!M10/5</f>
        <v>70</v>
      </c>
      <c r="I6" s="163">
        <f>'Activity Data'!Q10</f>
        <v>72.189293649730786</v>
      </c>
      <c r="J6" s="152">
        <f>+H6*B6*44/12</f>
        <v>41585.103176984514</v>
      </c>
      <c r="K6" s="165">
        <f>SQRT(I6^2+C6^2)</f>
        <v>86.184918231539115</v>
      </c>
      <c r="L6" s="166">
        <f>F6-J6</f>
        <v>17822.18707585051</v>
      </c>
      <c r="M6" s="153">
        <f>SQRT((F6*G6)^2+(J6*K6)^2)/ABS(L6)</f>
        <v>323.3032030710869</v>
      </c>
    </row>
    <row r="7" spans="1:15" ht="16" thickBot="1" x14ac:dyDescent="0.25">
      <c r="A7" s="97" t="s">
        <v>262</v>
      </c>
      <c r="B7" s="154">
        <f>'Cstock EFs'!P22</f>
        <v>594.32837239246669</v>
      </c>
      <c r="C7" s="155">
        <f>'Cstock EFs'!Q22</f>
        <v>10.513840982800286</v>
      </c>
      <c r="D7" s="154">
        <f>'Activity Data'!M4/5</f>
        <v>80</v>
      </c>
      <c r="E7" s="164">
        <f>'Activity Data'!Q4</f>
        <v>66.155168574450201</v>
      </c>
      <c r="F7" s="159">
        <f>+D7*B7*44/12</f>
        <v>174336.3225684569</v>
      </c>
      <c r="G7" s="156">
        <f>SQRT(E7^2+C7^2)</f>
        <v>66.985425141037467</v>
      </c>
      <c r="H7" s="154">
        <f>'Activity Data'!M11/5</f>
        <v>40</v>
      </c>
      <c r="I7" s="164">
        <f>'Activity Data'!Q11</f>
        <v>96.121231469642041</v>
      </c>
      <c r="J7" s="159">
        <f>+H7*B7*44/12</f>
        <v>87168.161284228452</v>
      </c>
      <c r="K7" s="157">
        <f>SQRT(I7^2+C7^2)</f>
        <v>96.69452927364668</v>
      </c>
      <c r="L7" s="171">
        <f>F7-J7</f>
        <v>87168.161284228452</v>
      </c>
      <c r="M7" s="156">
        <f>SQRT((F7*G7)^2+(J7*K7)^2)/ABS(L7)</f>
        <v>165.22112672643971</v>
      </c>
    </row>
    <row r="8" spans="1:15" ht="16" thickBot="1" x14ac:dyDescent="0.25">
      <c r="A8" s="161" t="s">
        <v>373</v>
      </c>
      <c r="B8" s="158"/>
      <c r="C8" s="158"/>
      <c r="D8" s="162"/>
      <c r="E8" s="162"/>
      <c r="F8" s="176">
        <f>+F6+F7</f>
        <v>233743.61282129193</v>
      </c>
      <c r="G8" s="172">
        <f>+SQRT((F6*G6)^2+(F7*G7)^2)/ABS(F8)</f>
        <v>53.559594113172118</v>
      </c>
      <c r="H8" s="182"/>
      <c r="I8" s="182"/>
      <c r="J8" s="176">
        <f>+J6+J7</f>
        <v>128753.26446121297</v>
      </c>
      <c r="K8" s="173">
        <f>+SQRT((J6*K6)^2+(J7*K7)^2)/ABS(J8)</f>
        <v>71.136296544356711</v>
      </c>
      <c r="L8" s="175">
        <f>+SUM(L6:L7)</f>
        <v>104990.34836007896</v>
      </c>
      <c r="M8" s="174">
        <f>SQRT((L6*M6)^2+(L7*M7)^2)/ABS(L8)</f>
        <v>147.74580559791724</v>
      </c>
    </row>
    <row r="9" spans="1:15" ht="16" thickBot="1" x14ac:dyDescent="0.25">
      <c r="A9" s="161" t="s">
        <v>372</v>
      </c>
      <c r="B9" s="127"/>
      <c r="C9" s="127"/>
      <c r="D9" s="127"/>
      <c r="E9" s="127"/>
      <c r="F9" s="176">
        <f>5*F8</f>
        <v>1168718.0641064597</v>
      </c>
      <c r="G9" s="172">
        <f>G8</f>
        <v>53.559594113172118</v>
      </c>
      <c r="H9" s="127"/>
      <c r="I9" s="127"/>
      <c r="J9" s="176">
        <f>5*J8</f>
        <v>643766.32230606489</v>
      </c>
      <c r="K9" s="172">
        <f>K8</f>
        <v>71.136296544356711</v>
      </c>
      <c r="L9" s="176">
        <f>5*L8</f>
        <v>524951.74180039484</v>
      </c>
      <c r="M9" s="172">
        <f>M8</f>
        <v>147.74580559791724</v>
      </c>
      <c r="N9" s="127"/>
      <c r="O9" s="127"/>
    </row>
    <row r="11" spans="1:15" x14ac:dyDescent="0.2">
      <c r="B11" s="137"/>
      <c r="C11" s="138"/>
    </row>
    <row r="15" spans="1:15" x14ac:dyDescent="0.2">
      <c r="A15" s="4" t="s">
        <v>363</v>
      </c>
      <c r="B15" s="39"/>
      <c r="C15" s="39"/>
      <c r="D15" s="4"/>
      <c r="E15" s="39"/>
      <c r="F15" s="4"/>
      <c r="G15" s="39"/>
      <c r="H15" s="4"/>
      <c r="I15" s="39"/>
      <c r="J15" s="4"/>
      <c r="K15" s="39"/>
    </row>
    <row r="16" spans="1:15" ht="16" x14ac:dyDescent="0.2">
      <c r="A16" s="116" t="s">
        <v>260</v>
      </c>
      <c r="B16" s="117" t="s">
        <v>351</v>
      </c>
      <c r="C16" s="117" t="s">
        <v>352</v>
      </c>
      <c r="D16" s="118" t="s">
        <v>353</v>
      </c>
      <c r="E16" s="119" t="s">
        <v>357</v>
      </c>
      <c r="F16" s="118" t="s">
        <v>358</v>
      </c>
      <c r="G16" s="119" t="s">
        <v>359</v>
      </c>
      <c r="H16" s="120" t="s">
        <v>360</v>
      </c>
      <c r="I16" s="121" t="s">
        <v>361</v>
      </c>
      <c r="J16" s="122" t="s">
        <v>360</v>
      </c>
      <c r="K16" s="121" t="s">
        <v>361</v>
      </c>
    </row>
    <row r="17" spans="1:11" x14ac:dyDescent="0.2">
      <c r="A17" s="51" t="s">
        <v>261</v>
      </c>
      <c r="B17" s="123">
        <f>'Cstock EFs'!P54</f>
        <v>162.01988250773186</v>
      </c>
      <c r="C17" s="123">
        <f>'Cstock EFs'!Q54</f>
        <v>48.609589762400581</v>
      </c>
      <c r="D17" s="123">
        <f>'Activity Data'!M3/5</f>
        <v>100</v>
      </c>
      <c r="E17" s="124">
        <f>'Activity Data'!Q3</f>
        <v>59.590761226295896</v>
      </c>
      <c r="F17" s="123">
        <f>'Activity Data'!M10/5</f>
        <v>70</v>
      </c>
      <c r="G17" s="124">
        <f>'Activity Data'!Q10</f>
        <v>72.189293649730786</v>
      </c>
      <c r="H17" s="125">
        <f>$B17*D17*44/12</f>
        <v>59407.290252835024</v>
      </c>
      <c r="I17" s="126">
        <f>SQRT($C17^2+E17^2)</f>
        <v>76.902217395848155</v>
      </c>
      <c r="J17" s="125">
        <f>$B17*F17*44/12</f>
        <v>41585.103176984514</v>
      </c>
      <c r="K17" s="126">
        <f>SQRT($C17^2+G17^2)</f>
        <v>87.029801416043355</v>
      </c>
    </row>
    <row r="18" spans="1:11" x14ac:dyDescent="0.2">
      <c r="A18" s="33" t="s">
        <v>262</v>
      </c>
      <c r="B18" s="123">
        <f>'Cstock EFs'!P55</f>
        <v>594.32837239246669</v>
      </c>
      <c r="C18" s="123">
        <f>'Cstock EFs'!Q55</f>
        <v>14.841704699872526</v>
      </c>
      <c r="D18" s="123">
        <f>'Activity Data'!M4/5</f>
        <v>80</v>
      </c>
      <c r="E18" s="124">
        <f>'Activity Data'!Q4</f>
        <v>66.155168574450201</v>
      </c>
      <c r="F18" s="123">
        <f>'Activity Data'!M11/5</f>
        <v>40</v>
      </c>
      <c r="G18" s="124">
        <f>'Activity Data'!Q11</f>
        <v>96.121231469642041</v>
      </c>
      <c r="H18" s="125">
        <f>$B18*D18*44/12</f>
        <v>174336.3225684569</v>
      </c>
      <c r="I18" s="126">
        <f>SQRT($C18^2+E18^2)</f>
        <v>67.799576160269183</v>
      </c>
      <c r="J18" s="125">
        <f>$B18*F18*44/12</f>
        <v>87168.161284228452</v>
      </c>
      <c r="K18" s="126">
        <f>SQRT($C18^2+G18^2)</f>
        <v>97.260307102325783</v>
      </c>
    </row>
    <row r="21" spans="1:11" x14ac:dyDescent="0.2">
      <c r="B21" s="129" t="s">
        <v>362</v>
      </c>
      <c r="C21" s="131" t="s">
        <v>336</v>
      </c>
      <c r="D21" s="127"/>
      <c r="E21" s="127"/>
      <c r="F21" s="127"/>
      <c r="G21" s="127"/>
    </row>
    <row r="22" spans="1:11" x14ac:dyDescent="0.2">
      <c r="A22" s="160" t="s">
        <v>354</v>
      </c>
      <c r="B22" s="130">
        <f>SUM(H17:H18)</f>
        <v>233743.61282129193</v>
      </c>
      <c r="C22" s="132">
        <f>SQRT((H17*I17)^2+(H18*I18)^2)/SUM(H17:H18)</f>
        <v>54.21371921916294</v>
      </c>
      <c r="D22" s="127"/>
      <c r="E22" s="127"/>
      <c r="F22" s="127"/>
      <c r="G22" s="127"/>
      <c r="H22" s="127"/>
      <c r="I22" s="127"/>
    </row>
    <row r="23" spans="1:11" x14ac:dyDescent="0.2">
      <c r="A23" s="160" t="s">
        <v>355</v>
      </c>
      <c r="B23" s="130">
        <f>SUM(J17:J18)</f>
        <v>128753.26446121297</v>
      </c>
      <c r="C23" s="132">
        <f>SQRT((J17*K17)^2+(J18*K18)^2)/SUM(J17:J18)</f>
        <v>71.595646897347322</v>
      </c>
      <c r="D23" s="127"/>
      <c r="E23" s="127"/>
      <c r="F23" s="127"/>
      <c r="G23" s="127"/>
      <c r="H23" s="127"/>
      <c r="I23" s="127"/>
    </row>
    <row r="24" spans="1:11" x14ac:dyDescent="0.2">
      <c r="A24" s="177" t="s">
        <v>356</v>
      </c>
      <c r="B24" s="130">
        <f>B22-B23</f>
        <v>104990.34836007896</v>
      </c>
      <c r="C24" s="132">
        <f>SQRT((B22*C22)^2+(B23*C23)^2)/ABS(B22-B23)</f>
        <v>149.25430817015689</v>
      </c>
    </row>
    <row r="26" spans="1:11" x14ac:dyDescent="0.2">
      <c r="A26" s="160" t="s">
        <v>368</v>
      </c>
      <c r="B26" s="114">
        <v>5</v>
      </c>
    </row>
    <row r="27" spans="1:11" x14ac:dyDescent="0.2">
      <c r="A27" s="177" t="s">
        <v>371</v>
      </c>
      <c r="B27" s="130">
        <f>B24*B26</f>
        <v>524951.74180039484</v>
      </c>
      <c r="C27" s="132">
        <f>C24</f>
        <v>149.25430817015689</v>
      </c>
    </row>
  </sheetData>
  <mergeCells count="5">
    <mergeCell ref="A4:A5"/>
    <mergeCell ref="H4:K4"/>
    <mergeCell ref="H8:I8"/>
    <mergeCell ref="D4:G4"/>
    <mergeCell ref="B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F525-5EF9-FE4C-9369-4595E6AA0919}">
  <dimension ref="A1:I2"/>
  <sheetViews>
    <sheetView tabSelected="1" workbookViewId="0">
      <selection activeCell="B3" sqref="B3"/>
    </sheetView>
  </sheetViews>
  <sheetFormatPr baseColWidth="10" defaultColWidth="10.6640625" defaultRowHeight="19" x14ac:dyDescent="0.25"/>
  <cols>
    <col min="1" max="1" width="8.5" style="61" customWidth="1"/>
    <col min="2" max="2" width="18.6640625" style="61" bestFit="1" customWidth="1"/>
    <col min="3" max="3" width="11.6640625" style="61" bestFit="1" customWidth="1"/>
    <col min="4" max="8" width="11.6640625" style="61" customWidth="1"/>
    <col min="9" max="16384" width="10.6640625" style="61"/>
  </cols>
  <sheetData>
    <row r="1" spans="1:9" x14ac:dyDescent="0.25">
      <c r="A1" s="60" t="s">
        <v>266</v>
      </c>
      <c r="B1" s="60" t="s">
        <v>400</v>
      </c>
      <c r="C1" s="60" t="s">
        <v>269</v>
      </c>
      <c r="D1" s="60" t="s">
        <v>270</v>
      </c>
      <c r="E1" s="60" t="s">
        <v>271</v>
      </c>
      <c r="F1" s="60" t="s">
        <v>272</v>
      </c>
      <c r="G1" s="60" t="s">
        <v>322</v>
      </c>
      <c r="H1" s="60" t="s">
        <v>267</v>
      </c>
      <c r="I1" s="60" t="s">
        <v>265</v>
      </c>
    </row>
    <row r="2" spans="1:9" x14ac:dyDescent="0.25">
      <c r="A2" s="61">
        <v>10000</v>
      </c>
      <c r="B2" s="61" t="s">
        <v>345</v>
      </c>
      <c r="C2" s="62" t="s">
        <v>321</v>
      </c>
      <c r="D2" s="62" t="s">
        <v>274</v>
      </c>
      <c r="E2" s="61" t="b">
        <v>0</v>
      </c>
      <c r="F2" s="61">
        <v>0.9</v>
      </c>
      <c r="G2" s="61">
        <v>3</v>
      </c>
      <c r="H2" s="62">
        <v>444</v>
      </c>
      <c r="I2" s="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532F-6677-7D49-802F-A05017085353}">
  <dimension ref="A1:D3"/>
  <sheetViews>
    <sheetView workbookViewId="0">
      <selection activeCell="J42" sqref="J42"/>
    </sheetView>
  </sheetViews>
  <sheetFormatPr baseColWidth="10" defaultRowHeight="15" x14ac:dyDescent="0.2"/>
  <sheetData>
    <row r="1" spans="1:4" ht="16" x14ac:dyDescent="0.2">
      <c r="A1" s="58" t="s">
        <v>275</v>
      </c>
      <c r="B1" s="58" t="s">
        <v>276</v>
      </c>
      <c r="C1" s="58" t="s">
        <v>277</v>
      </c>
      <c r="D1" s="58" t="s">
        <v>278</v>
      </c>
    </row>
    <row r="2" spans="1:4" x14ac:dyDescent="0.2">
      <c r="A2" s="59" t="s">
        <v>279</v>
      </c>
      <c r="B2" s="59">
        <v>2010</v>
      </c>
      <c r="C2" s="59">
        <v>2015</v>
      </c>
      <c r="D2" s="59" t="s">
        <v>280</v>
      </c>
    </row>
    <row r="3" spans="1:4" x14ac:dyDescent="0.2">
      <c r="A3" s="59" t="s">
        <v>281</v>
      </c>
      <c r="B3" s="59">
        <v>2015</v>
      </c>
      <c r="C3" s="59">
        <v>2020</v>
      </c>
      <c r="D3" s="59" t="s">
        <v>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2F07-0BA6-5A45-B6A2-F8E07D5EC4F1}">
  <dimension ref="A1:K5"/>
  <sheetViews>
    <sheetView workbookViewId="0">
      <selection activeCell="E10" sqref="E10"/>
    </sheetView>
  </sheetViews>
  <sheetFormatPr baseColWidth="10" defaultRowHeight="15" x14ac:dyDescent="0.2"/>
  <cols>
    <col min="2" max="2" width="11.5" bestFit="1" customWidth="1"/>
    <col min="3" max="3" width="20.83203125" bestFit="1" customWidth="1"/>
    <col min="4" max="4" width="10.1640625" bestFit="1" customWidth="1"/>
    <col min="10" max="10" width="10.83203125" bestFit="1" customWidth="1"/>
  </cols>
  <sheetData>
    <row r="1" spans="1:11" ht="16" x14ac:dyDescent="0.2">
      <c r="A1" s="63" t="s">
        <v>282</v>
      </c>
      <c r="B1" s="63" t="s">
        <v>283</v>
      </c>
      <c r="C1" s="63" t="s">
        <v>290</v>
      </c>
      <c r="D1" s="63" t="s">
        <v>291</v>
      </c>
      <c r="E1" s="63" t="s">
        <v>284</v>
      </c>
      <c r="F1" s="63" t="s">
        <v>285</v>
      </c>
      <c r="G1" s="63" t="s">
        <v>286</v>
      </c>
      <c r="H1" s="63" t="s">
        <v>287</v>
      </c>
      <c r="I1" s="63" t="s">
        <v>288</v>
      </c>
      <c r="J1" s="63" t="s">
        <v>289</v>
      </c>
      <c r="K1" s="63" t="s">
        <v>292</v>
      </c>
    </row>
    <row r="2" spans="1:11" x14ac:dyDescent="0.2">
      <c r="A2" s="101">
        <v>1</v>
      </c>
      <c r="B2" s="101" t="s">
        <v>279</v>
      </c>
      <c r="C2" s="102" t="s">
        <v>324</v>
      </c>
      <c r="D2" s="102" t="s">
        <v>326</v>
      </c>
      <c r="E2" s="103">
        <v>500</v>
      </c>
      <c r="F2" s="104">
        <v>152.017</v>
      </c>
      <c r="G2" s="101" t="s">
        <v>273</v>
      </c>
      <c r="H2" s="101"/>
      <c r="I2" s="101"/>
      <c r="J2" s="101"/>
      <c r="K2" s="101" t="s">
        <v>293</v>
      </c>
    </row>
    <row r="3" spans="1:11" x14ac:dyDescent="0.2">
      <c r="A3" s="101">
        <v>2</v>
      </c>
      <c r="B3" s="101" t="s">
        <v>279</v>
      </c>
      <c r="C3" s="102" t="s">
        <v>325</v>
      </c>
      <c r="D3" s="102" t="s">
        <v>326</v>
      </c>
      <c r="E3" s="103">
        <v>400</v>
      </c>
      <c r="F3" s="104">
        <v>135.011</v>
      </c>
      <c r="G3" s="101" t="s">
        <v>273</v>
      </c>
      <c r="H3" s="101"/>
      <c r="I3" s="101"/>
      <c r="J3" s="101"/>
      <c r="K3" s="101" t="s">
        <v>293</v>
      </c>
    </row>
    <row r="4" spans="1:11" x14ac:dyDescent="0.2">
      <c r="A4" s="101">
        <v>3</v>
      </c>
      <c r="B4" s="101" t="s">
        <v>281</v>
      </c>
      <c r="C4" s="102" t="s">
        <v>324</v>
      </c>
      <c r="D4" s="102" t="s">
        <v>326</v>
      </c>
      <c r="E4" s="103">
        <v>350</v>
      </c>
      <c r="F4" s="104">
        <v>128.90899999999999</v>
      </c>
      <c r="G4" s="101" t="s">
        <v>273</v>
      </c>
      <c r="H4" s="101"/>
      <c r="I4" s="101"/>
      <c r="J4" s="101"/>
      <c r="K4" s="101" t="s">
        <v>293</v>
      </c>
    </row>
    <row r="5" spans="1:11" x14ac:dyDescent="0.2">
      <c r="A5" s="101">
        <v>4</v>
      </c>
      <c r="B5" s="101" t="s">
        <v>281</v>
      </c>
      <c r="C5" s="102" t="s">
        <v>325</v>
      </c>
      <c r="D5" s="102" t="s">
        <v>326</v>
      </c>
      <c r="E5" s="103">
        <v>200</v>
      </c>
      <c r="F5" s="104">
        <v>98.082999999999998</v>
      </c>
      <c r="G5" s="101" t="s">
        <v>273</v>
      </c>
      <c r="H5" s="101"/>
      <c r="I5" s="101"/>
      <c r="J5" s="101"/>
      <c r="K5" s="101" t="s">
        <v>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BED0-D1A3-A44F-9DC6-58E7875B9011}">
  <dimension ref="A1:K7"/>
  <sheetViews>
    <sheetView zoomScale="140" zoomScaleNormal="140" workbookViewId="0">
      <selection activeCell="C15" sqref="C15"/>
    </sheetView>
  </sheetViews>
  <sheetFormatPr baseColWidth="10" defaultRowHeight="15" x14ac:dyDescent="0.2"/>
  <cols>
    <col min="2" max="2" width="9.5" bestFit="1" customWidth="1"/>
    <col min="3" max="3" width="20.83203125" bestFit="1" customWidth="1"/>
    <col min="4" max="4" width="14.6640625" bestFit="1" customWidth="1"/>
    <col min="5" max="5" width="14.6640625" customWidth="1"/>
    <col min="6" max="6" width="8.6640625" bestFit="1" customWidth="1"/>
    <col min="7" max="7" width="8" customWidth="1"/>
    <col min="8" max="8" width="6.5" bestFit="1" customWidth="1"/>
    <col min="9" max="11" width="8.83203125" bestFit="1" customWidth="1"/>
  </cols>
  <sheetData>
    <row r="1" spans="1:11" ht="16" x14ac:dyDescent="0.2">
      <c r="A1" s="64" t="s">
        <v>294</v>
      </c>
      <c r="B1" s="64" t="s">
        <v>295</v>
      </c>
      <c r="C1" s="64" t="s">
        <v>327</v>
      </c>
      <c r="D1" s="64" t="s">
        <v>296</v>
      </c>
      <c r="E1" s="64" t="s">
        <v>268</v>
      </c>
      <c r="F1" s="64" t="s">
        <v>297</v>
      </c>
      <c r="G1" s="64" t="s">
        <v>298</v>
      </c>
      <c r="H1" s="64" t="s">
        <v>299</v>
      </c>
      <c r="I1" s="64" t="s">
        <v>300</v>
      </c>
      <c r="J1" s="64" t="s">
        <v>301</v>
      </c>
      <c r="K1" s="64" t="s">
        <v>302</v>
      </c>
    </row>
    <row r="2" spans="1:11" x14ac:dyDescent="0.2">
      <c r="A2" s="65">
        <v>1</v>
      </c>
      <c r="B2" s="65" t="s">
        <v>274</v>
      </c>
      <c r="C2" s="99" t="s">
        <v>324</v>
      </c>
      <c r="D2" s="65" t="s">
        <v>344</v>
      </c>
      <c r="E2" s="65" t="s">
        <v>345</v>
      </c>
      <c r="F2" s="98">
        <v>599.32799999999997</v>
      </c>
      <c r="G2" s="98">
        <v>31.824000000000002</v>
      </c>
      <c r="H2" s="65" t="s">
        <v>273</v>
      </c>
      <c r="I2" s="65"/>
      <c r="J2" s="65"/>
      <c r="K2" s="65"/>
    </row>
    <row r="3" spans="1:11" x14ac:dyDescent="0.2">
      <c r="A3" s="65">
        <v>2</v>
      </c>
      <c r="B3" s="65" t="s">
        <v>274</v>
      </c>
      <c r="C3" s="99" t="s">
        <v>325</v>
      </c>
      <c r="D3" s="65" t="s">
        <v>344</v>
      </c>
      <c r="E3" s="65" t="s">
        <v>345</v>
      </c>
      <c r="F3" s="98">
        <v>167.02</v>
      </c>
      <c r="G3" s="98">
        <v>38.871000000000002</v>
      </c>
      <c r="H3" s="65" t="s">
        <v>273</v>
      </c>
      <c r="I3" s="65"/>
      <c r="J3" s="65"/>
      <c r="K3" s="65"/>
    </row>
    <row r="4" spans="1:11" x14ac:dyDescent="0.2">
      <c r="A4" s="65">
        <v>4</v>
      </c>
      <c r="B4" s="65" t="s">
        <v>274</v>
      </c>
      <c r="C4" s="99" t="s">
        <v>324</v>
      </c>
      <c r="D4" s="65" t="s">
        <v>347</v>
      </c>
      <c r="E4" s="65" t="s">
        <v>345</v>
      </c>
      <c r="F4" s="98">
        <v>0.32100000000000001</v>
      </c>
      <c r="G4" s="98">
        <v>7.0000000000000007E-2</v>
      </c>
      <c r="H4" s="65" t="s">
        <v>273</v>
      </c>
      <c r="I4" s="65"/>
      <c r="J4" s="65"/>
      <c r="K4" s="65"/>
    </row>
    <row r="5" spans="1:11" x14ac:dyDescent="0.2">
      <c r="A5" s="65">
        <v>5</v>
      </c>
      <c r="B5" s="65" t="s">
        <v>274</v>
      </c>
      <c r="C5" s="99" t="s">
        <v>325</v>
      </c>
      <c r="D5" s="65" t="s">
        <v>347</v>
      </c>
      <c r="E5" s="65" t="s">
        <v>345</v>
      </c>
      <c r="F5" s="98">
        <v>0.32100000000000001</v>
      </c>
      <c r="G5" s="98">
        <v>7.0000000000000007E-2</v>
      </c>
      <c r="H5" s="65" t="s">
        <v>273</v>
      </c>
      <c r="I5" s="65"/>
      <c r="J5" s="65"/>
      <c r="K5" s="65"/>
    </row>
    <row r="6" spans="1:11" x14ac:dyDescent="0.2">
      <c r="A6" s="66">
        <v>6</v>
      </c>
      <c r="B6" s="67" t="s">
        <v>274</v>
      </c>
      <c r="C6" s="100" t="s">
        <v>326</v>
      </c>
      <c r="D6" s="65" t="s">
        <v>274</v>
      </c>
      <c r="E6" s="67" t="s">
        <v>376</v>
      </c>
      <c r="F6" s="98">
        <v>5</v>
      </c>
      <c r="G6" s="98">
        <f>75/100*F6/1.645</f>
        <v>2.2796352583586628</v>
      </c>
      <c r="H6" s="67" t="s">
        <v>273</v>
      </c>
      <c r="I6" s="66"/>
      <c r="J6" s="66"/>
      <c r="K6" s="66"/>
    </row>
    <row r="7" spans="1:11" x14ac:dyDescent="0.2">
      <c r="A7" s="65">
        <v>7</v>
      </c>
      <c r="B7" s="99" t="s">
        <v>274</v>
      </c>
      <c r="C7" s="99" t="s">
        <v>274</v>
      </c>
      <c r="D7" s="99" t="s">
        <v>244</v>
      </c>
      <c r="E7" s="99" t="s">
        <v>346</v>
      </c>
      <c r="F7" s="98">
        <v>0.47</v>
      </c>
      <c r="G7" s="98">
        <v>1.2999999999999999E-2</v>
      </c>
      <c r="H7" s="99" t="s">
        <v>273</v>
      </c>
      <c r="I7" s="128"/>
      <c r="J7" s="128"/>
      <c r="K7" s="1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Activity Data</vt:lpstr>
      <vt:lpstr>Cstock EFs</vt:lpstr>
      <vt:lpstr>BaseLine &amp; ER</vt:lpstr>
      <vt:lpstr>setup</vt:lpstr>
      <vt:lpstr>time</vt:lpstr>
      <vt:lpstr>area</vt:lpstr>
      <vt:lpstr>carbon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</dc:creator>
  <cp:lastModifiedBy>Sola, Gael (NFOM)</cp:lastModifiedBy>
  <dcterms:created xsi:type="dcterms:W3CDTF">2024-07-16T00:54:52Z</dcterms:created>
  <dcterms:modified xsi:type="dcterms:W3CDTF">2026-09-27T17:01:48Z</dcterms:modified>
</cp:coreProperties>
</file>